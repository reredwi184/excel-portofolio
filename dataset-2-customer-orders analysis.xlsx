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18762CC-B250-4D1E-A03B-C33712C2B556}" xr6:coauthVersionLast="47" xr6:coauthVersionMax="47" xr10:uidLastSave="{00000000-0000-0000-0000-000000000000}"/>
  <bookViews>
    <workbookView xWindow="-120" yWindow="-120" windowWidth="20730" windowHeight="11040" firstSheet="4" activeTab="7" xr2:uid="{00000000-000D-0000-FFFF-FFFF00000000}"/>
  </bookViews>
  <sheets>
    <sheet name="README" sheetId="1" r:id="rId1"/>
    <sheet name="Customer Orders Raw" sheetId="2" r:id="rId2"/>
    <sheet name="Cleaned Data" sheetId="6" r:id="rId3"/>
    <sheet name="Summary Analysis" sheetId="7" r:id="rId4"/>
    <sheet name="Dashboard" sheetId="9" r:id="rId5"/>
    <sheet name="Data Dashboard" sheetId="10" r:id="rId6"/>
    <sheet name="Data Dictionary" sheetId="3" r:id="rId7"/>
    <sheet name="Business Questions" sheetId="4" r:id="rId8"/>
    <sheet name="Cleaning Log Template" sheetId="5" r:id="rId9"/>
  </sheets>
  <definedNames>
    <definedName name="ExternalData_1" localSheetId="2" hidden="1">'Cleaned Data'!$A$1:$O$821</definedName>
  </definedNames>
  <calcPr calcId="191029"/>
  <pivotCaches>
    <pivotCache cacheId="24"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9" l="1"/>
  <c r="E6" i="9"/>
  <c r="H6" i="9"/>
  <c r="K6" i="9"/>
  <c r="N6" i="9"/>
  <c r="A823"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D9DE87-469F-42F0-82D8-6E8E21098CA1}" keepAlive="1" name="Query - CustomerOrdersRaw" description="Connection to the 'CustomerOrdersRaw' query in the workbook." type="5" refreshedVersion="8" background="1" saveData="1">
    <dbPr connection="Provider=Microsoft.Mashup.OleDb.1;Data Source=$Workbook$;Location=CustomerOrdersRaw;Extended Properties=&quot;&quot;" command="SELECT * FROM [CustomerOrdersRaw]"/>
  </connection>
</connections>
</file>

<file path=xl/sharedStrings.xml><?xml version="1.0" encoding="utf-8"?>
<sst xmlns="http://schemas.openxmlformats.org/spreadsheetml/2006/main" count="16944" uniqueCount="1423">
  <si>
    <t>Dataset 2 - Customer Orders &amp; Retention Analysis</t>
  </si>
  <si>
    <t>Portfolio dataset for analyzing customer segments, repeat orders, spending behavior, satisfaction, and retention signals.</t>
  </si>
  <si>
    <t>Item</t>
  </si>
  <si>
    <t>Details</t>
  </si>
  <si>
    <t>Recommended Use</t>
  </si>
  <si>
    <t>Use this dataset for an Excel portfolio project.</t>
  </si>
  <si>
    <t>Expected Output</t>
  </si>
  <si>
    <t>Cleaned data, summary analysis, dashboard, business insights, and GitHub README.</t>
  </si>
  <si>
    <t>Important</t>
  </si>
  <si>
    <t>This dataset includes intentional data quality issues for practice.</t>
  </si>
  <si>
    <t>Business Style</t>
  </si>
  <si>
    <t>Explain data cleaning in business terms: issue, risk, and action taken.</t>
  </si>
  <si>
    <t>Customer Orders Raw</t>
  </si>
  <si>
    <t>Raw customer order dataset with intentional data quality issues.</t>
  </si>
  <si>
    <t>Transaction ID</t>
  </si>
  <si>
    <t>Customer ID</t>
  </si>
  <si>
    <t>Customer Name</t>
  </si>
  <si>
    <t>Order Date</t>
  </si>
  <si>
    <t>Region</t>
  </si>
  <si>
    <t>Customer Segment</t>
  </si>
  <si>
    <t>Acquisition Channel</t>
  </si>
  <si>
    <t>Product Category</t>
  </si>
  <si>
    <t>Items Purchased</t>
  </si>
  <si>
    <t>Order Value</t>
  </si>
  <si>
    <t>Shipping Fee</t>
  </si>
  <si>
    <t>Delivery Status</t>
  </si>
  <si>
    <t>Satisfaction</t>
  </si>
  <si>
    <t>Used Promo</t>
  </si>
  <si>
    <t>TXN-0001</t>
  </si>
  <si>
    <t>CUST-0238</t>
  </si>
  <si>
    <t>Fajar Permata</t>
  </si>
  <si>
    <t>Bandung</t>
  </si>
  <si>
    <t>VIP</t>
  </si>
  <si>
    <t>Website</t>
  </si>
  <si>
    <t>Accessories</t>
  </si>
  <si>
    <t>Delivered</t>
  </si>
  <si>
    <t>Satisfied</t>
  </si>
  <si>
    <t>No</t>
  </si>
  <si>
    <t>TXN-0002</t>
  </si>
  <si>
    <t>CUST-0033</t>
  </si>
  <si>
    <t>Rizky Permata</t>
  </si>
  <si>
    <t>Medan</t>
  </si>
  <si>
    <t>Returning Customer</t>
  </si>
  <si>
    <t>TXN-0003</t>
  </si>
  <si>
    <t>CUST-0155</t>
  </si>
  <si>
    <t>Citra Putri</t>
  </si>
  <si>
    <t>Event</t>
  </si>
  <si>
    <t>Stationery</t>
  </si>
  <si>
    <t>Delayed</t>
  </si>
  <si>
    <t>Dissatisfied</t>
  </si>
  <si>
    <t>TXN-0004</t>
  </si>
  <si>
    <t>CUST-0072</t>
  </si>
  <si>
    <t>Dimas Lestari</t>
  </si>
  <si>
    <t>Makassar</t>
  </si>
  <si>
    <t>Electronics</t>
  </si>
  <si>
    <t>TXN-0005</t>
  </si>
  <si>
    <t>CUST-0012</t>
  </si>
  <si>
    <t>Sari Saputra</t>
  </si>
  <si>
    <t>Jakarta</t>
  </si>
  <si>
    <t>Corporate</t>
  </si>
  <si>
    <t>Marketplace</t>
  </si>
  <si>
    <t>Yes</t>
  </si>
  <si>
    <t>TXN-0006</t>
  </si>
  <si>
    <t>CUST-0143</t>
  </si>
  <si>
    <t>Sari Wijaya</t>
  </si>
  <si>
    <t>New Customer</t>
  </si>
  <si>
    <t>Furniture</t>
  </si>
  <si>
    <t>Very Satisfied</t>
  </si>
  <si>
    <t>TXN-0007</t>
  </si>
  <si>
    <t>CUST-0181</t>
  </si>
  <si>
    <t>Nadia Lestari</t>
  </si>
  <si>
    <t>Neutral</t>
  </si>
  <si>
    <t>TXN-0008</t>
  </si>
  <si>
    <t>CUST-0221</t>
  </si>
  <si>
    <t>Alya Lestari</t>
  </si>
  <si>
    <t>Organic Search</t>
  </si>
  <si>
    <t>Office Supplies</t>
  </si>
  <si>
    <t>TXN-0009</t>
  </si>
  <si>
    <t>CUST-0202</t>
  </si>
  <si>
    <t>Citra Wijaya</t>
  </si>
  <si>
    <t>Surabaya</t>
  </si>
  <si>
    <t>Instagram</t>
  </si>
  <si>
    <t>TXN-0010</t>
  </si>
  <si>
    <t>CUST-0120</t>
  </si>
  <si>
    <t>Fajar Pratama</t>
  </si>
  <si>
    <t>Referral</t>
  </si>
  <si>
    <t>TXN-0011</t>
  </si>
  <si>
    <t>CUST-0139</t>
  </si>
  <si>
    <t>Maya Pratama</t>
  </si>
  <si>
    <t>Returned</t>
  </si>
  <si>
    <t>TXN-0012</t>
  </si>
  <si>
    <t>CUST-0071</t>
  </si>
  <si>
    <t>Fajar Dewi</t>
  </si>
  <si>
    <t>TXN-0013</t>
  </si>
  <si>
    <t>CUST-0116</t>
  </si>
  <si>
    <t>TXN-0014</t>
  </si>
  <si>
    <t>TXN-0015</t>
  </si>
  <si>
    <t>CUST-0122</t>
  </si>
  <si>
    <t>Citra Permata</t>
  </si>
  <si>
    <t>TXN-0016</t>
  </si>
  <si>
    <t>CUST-0106</t>
  </si>
  <si>
    <t>Rizky Dewi</t>
  </si>
  <si>
    <t>TXN-0017</t>
  </si>
  <si>
    <t>CUST-0230</t>
  </si>
  <si>
    <t>Fajar Lestari</t>
  </si>
  <si>
    <t>TXN-0018</t>
  </si>
  <si>
    <t>CUST-0043</t>
  </si>
  <si>
    <t>Maya Permata</t>
  </si>
  <si>
    <t xml:space="preserve"> very satisfied </t>
  </si>
  <si>
    <t>TXN-0019</t>
  </si>
  <si>
    <t>CUST-0082</t>
  </si>
  <si>
    <t>Alya Wijaya</t>
  </si>
  <si>
    <t>TXN-0020</t>
  </si>
  <si>
    <t>CUST-0115</t>
  </si>
  <si>
    <t>Alya Saputra</t>
  </si>
  <si>
    <t>TXN-0021</t>
  </si>
  <si>
    <t>CUST-0002</t>
  </si>
  <si>
    <t>TXN-0022</t>
  </si>
  <si>
    <t>CUST-0177</t>
  </si>
  <si>
    <t>Rizky Santoso</t>
  </si>
  <si>
    <t>TXN-0023</t>
  </si>
  <si>
    <t>CUST-0092</t>
  </si>
  <si>
    <t>Maya Lestari</t>
  </si>
  <si>
    <t xml:space="preserve"> delivered </t>
  </si>
  <si>
    <t>TXN-0024</t>
  </si>
  <si>
    <t>CUST-0138</t>
  </si>
  <si>
    <t>Nadia Santoso</t>
  </si>
  <si>
    <t>TXN-0025</t>
  </si>
  <si>
    <t>CUST-0038</t>
  </si>
  <si>
    <t>Dimas Permata</t>
  </si>
  <si>
    <t xml:space="preserve"> electronics </t>
  </si>
  <si>
    <t>TXN-0026</t>
  </si>
  <si>
    <t>CUST-0187</t>
  </si>
  <si>
    <t>Bima Wijaya</t>
  </si>
  <si>
    <t>TXN-0027</t>
  </si>
  <si>
    <t>CUST-0037</t>
  </si>
  <si>
    <t>Maya Santoso</t>
  </si>
  <si>
    <t>TXN-0028</t>
  </si>
  <si>
    <t>CUST-0164</t>
  </si>
  <si>
    <t>TXN-0029</t>
  </si>
  <si>
    <t>CUST-0142</t>
  </si>
  <si>
    <t>Rizky Lestari</t>
  </si>
  <si>
    <t>TXN-0030</t>
  </si>
  <si>
    <t>CUST-0068</t>
  </si>
  <si>
    <t>Citra Dewi</t>
  </si>
  <si>
    <t>TXN-0031</t>
  </si>
  <si>
    <t>CUST-0031</t>
  </si>
  <si>
    <t xml:space="preserve"> website </t>
  </si>
  <si>
    <t>TXN-0032</t>
  </si>
  <si>
    <t>CUST-0096</t>
  </si>
  <si>
    <t>TXN-0033</t>
  </si>
  <si>
    <t>CUST-0070</t>
  </si>
  <si>
    <t>Nadia Pratama</t>
  </si>
  <si>
    <t>TXN-0034</t>
  </si>
  <si>
    <t>CUST-0154</t>
  </si>
  <si>
    <t>Rp 2.400.494</t>
  </si>
  <si>
    <t>TXN-0035</t>
  </si>
  <si>
    <t>CUST-0137</t>
  </si>
  <si>
    <t>Fajar Saputra</t>
  </si>
  <si>
    <t xml:space="preserve"> corporate </t>
  </si>
  <si>
    <t>TXN-0036</t>
  </si>
  <si>
    <t>CUST-0056</t>
  </si>
  <si>
    <t>NEUTRAL</t>
  </si>
  <si>
    <t>TXN-0037</t>
  </si>
  <si>
    <t>CUST-0030</t>
  </si>
  <si>
    <t>Alya Putri</t>
  </si>
  <si>
    <t>TXN-0038</t>
  </si>
  <si>
    <t>CUST-0191</t>
  </si>
  <si>
    <t>TXN-0039</t>
  </si>
  <si>
    <t>CUST-0109</t>
  </si>
  <si>
    <t>Raka Wijaya</t>
  </si>
  <si>
    <t>TXN-0040</t>
  </si>
  <si>
    <t>CUST-0121</t>
  </si>
  <si>
    <t>Rizky Saputra</t>
  </si>
  <si>
    <t>TXN-0041</t>
  </si>
  <si>
    <t>CUST-0048</t>
  </si>
  <si>
    <t>Rizky Wijaya</t>
  </si>
  <si>
    <t>DELIVERED</t>
  </si>
  <si>
    <t>TXN-0042</t>
  </si>
  <si>
    <t>CUST-0130</t>
  </si>
  <si>
    <t>Fajar Putri</t>
  </si>
  <si>
    <t>TXN-0043</t>
  </si>
  <si>
    <t>CUST-0186</t>
  </si>
  <si>
    <t xml:space="preserve"> sari santoso </t>
  </si>
  <si>
    <t>26/01/2026</t>
  </si>
  <si>
    <t>ELECTRONICS</t>
  </si>
  <si>
    <t>TXN-0044</t>
  </si>
  <si>
    <t>CUST-0214</t>
  </si>
  <si>
    <t>TXN-0045</t>
  </si>
  <si>
    <t>CUST-0127</t>
  </si>
  <si>
    <t>Bima Putri</t>
  </si>
  <si>
    <t>TXN-0046</t>
  </si>
  <si>
    <t>CUST-0176</t>
  </si>
  <si>
    <t>TXN-0047</t>
  </si>
  <si>
    <t>CUST-0004</t>
  </si>
  <si>
    <t>Alya Pratama</t>
  </si>
  <si>
    <t>TXN-0048</t>
  </si>
  <si>
    <t>CUST-0178</t>
  </si>
  <si>
    <t>Bima Santoso</t>
  </si>
  <si>
    <t>TXN-0049</t>
  </si>
  <si>
    <t>Sari Santoso</t>
  </si>
  <si>
    <t>MARKETPLACE</t>
  </si>
  <si>
    <t>TXN-0050</t>
  </si>
  <si>
    <t>CUST-0125</t>
  </si>
  <si>
    <t>Dimas Santoso</t>
  </si>
  <si>
    <t>medan</t>
  </si>
  <si>
    <t>TXN-0051</t>
  </si>
  <si>
    <t>CUST-0026</t>
  </si>
  <si>
    <t>Nadia Putri</t>
  </si>
  <si>
    <t>TXN-0052</t>
  </si>
  <si>
    <t>CUST-0195</t>
  </si>
  <si>
    <t>TXN-0053</t>
  </si>
  <si>
    <t>CUST-0208</t>
  </si>
  <si>
    <t>Raka Lestari</t>
  </si>
  <si>
    <t>CORPORATE</t>
  </si>
  <si>
    <t>TXN-0054</t>
  </si>
  <si>
    <t>CUST-0114</t>
  </si>
  <si>
    <t>TXN-0055</t>
  </si>
  <si>
    <t>CUST-0080</t>
  </si>
  <si>
    <t>Fajar Wijaya</t>
  </si>
  <si>
    <t>04/10/2026</t>
  </si>
  <si>
    <t>TXN-0056</t>
  </si>
  <si>
    <t>TXN-0057</t>
  </si>
  <si>
    <t>CUST-0152</t>
  </si>
  <si>
    <t>Bima Lestari</t>
  </si>
  <si>
    <t>TXN-0058</t>
  </si>
  <si>
    <t>TXN-0059</t>
  </si>
  <si>
    <t>TXN-0060</t>
  </si>
  <si>
    <t>CUST-0151</t>
  </si>
  <si>
    <t>Raka Saputra</t>
  </si>
  <si>
    <t>TXN-0061</t>
  </si>
  <si>
    <t>CUST-0128</t>
  </si>
  <si>
    <t>BIMA SANTOSO</t>
  </si>
  <si>
    <t xml:space="preserve"> dissatisfied </t>
  </si>
  <si>
    <t>TXN-0062</t>
  </si>
  <si>
    <t>CUST-0074</t>
  </si>
  <si>
    <t>TXN-0063</t>
  </si>
  <si>
    <t>CUST-0018</t>
  </si>
  <si>
    <t>Citra Santoso</t>
  </si>
  <si>
    <t>TXN-0064</t>
  </si>
  <si>
    <t>CUST-0052</t>
  </si>
  <si>
    <t>Rizky Putri</t>
  </si>
  <si>
    <t>TXN-0065</t>
  </si>
  <si>
    <t>CUST-0148</t>
  </si>
  <si>
    <t>Raka Pratama</t>
  </si>
  <si>
    <t>Cancelled</t>
  </si>
  <si>
    <t>TXN-0066</t>
  </si>
  <si>
    <t>CUST-0094</t>
  </si>
  <si>
    <t>Maya Putri</t>
  </si>
  <si>
    <t>TXN-0067</t>
  </si>
  <si>
    <t>CUST-0217</t>
  </si>
  <si>
    <t>TXN-0068</t>
  </si>
  <si>
    <t>CUST-0050</t>
  </si>
  <si>
    <t>Alya Permata</t>
  </si>
  <si>
    <t xml:space="preserve"> accessories </t>
  </si>
  <si>
    <t>TXN-0069</t>
  </si>
  <si>
    <t>CUST-0035</t>
  </si>
  <si>
    <t>Maya Wijaya</t>
  </si>
  <si>
    <t>TXN-0070</t>
  </si>
  <si>
    <t>CUST-0081</t>
  </si>
  <si>
    <t>Citra Saputra</t>
  </si>
  <si>
    <t>TXN-0071</t>
  </si>
  <si>
    <t>CUST-0134</t>
  </si>
  <si>
    <t>Citra Lestari</t>
  </si>
  <si>
    <t>TXN-0072</t>
  </si>
  <si>
    <t>CUST-0240</t>
  </si>
  <si>
    <t>Citra Pratama</t>
  </si>
  <si>
    <t>TXN-0073</t>
  </si>
  <si>
    <t>cust-0126</t>
  </si>
  <si>
    <t>TXN-0074</t>
  </si>
  <si>
    <t>CUST-0184</t>
  </si>
  <si>
    <t>Sari Pratama</t>
  </si>
  <si>
    <t>TXN-0075</t>
  </si>
  <si>
    <t>Rp 1.641.924</t>
  </si>
  <si>
    <t>TXN-0076</t>
  </si>
  <si>
    <t>CUST-0077</t>
  </si>
  <si>
    <t>Raka Permata</t>
  </si>
  <si>
    <t>TXN-0077</t>
  </si>
  <si>
    <t>TXN-0078</t>
  </si>
  <si>
    <t>CUST-0117</t>
  </si>
  <si>
    <t xml:space="preserve"> new customer </t>
  </si>
  <si>
    <t>TXN-0079</t>
  </si>
  <si>
    <t>TXN-0080</t>
  </si>
  <si>
    <t>CUST-0224</t>
  </si>
  <si>
    <t>Sari Permata</t>
  </si>
  <si>
    <t>TXN-0081</t>
  </si>
  <si>
    <t>CUST-0047</t>
  </si>
  <si>
    <t>TXN-0082</t>
  </si>
  <si>
    <t>TXN-0083</t>
  </si>
  <si>
    <t>TXN-0084</t>
  </si>
  <si>
    <t>CUST-0098</t>
  </si>
  <si>
    <t>TXN-0085</t>
  </si>
  <si>
    <t>CUST-0008</t>
  </si>
  <si>
    <t>TXN-0086</t>
  </si>
  <si>
    <t xml:space="preserve"> maya wijaya </t>
  </si>
  <si>
    <t>TXN-0087</t>
  </si>
  <si>
    <t>CUST-0014</t>
  </si>
  <si>
    <t>TXN-0088</t>
  </si>
  <si>
    <t>CUST-0078</t>
  </si>
  <si>
    <t>TXN-0089</t>
  </si>
  <si>
    <t>CUST-0023</t>
  </si>
  <si>
    <t>TXN-0090</t>
  </si>
  <si>
    <t>CUST-0073</t>
  </si>
  <si>
    <t>09/03/2026</t>
  </si>
  <si>
    <t>TXN-0091</t>
  </si>
  <si>
    <t>CUST-0049</t>
  </si>
  <si>
    <t>TXN-0092</t>
  </si>
  <si>
    <t>TXN-0093</t>
  </si>
  <si>
    <t>CUST-0223</t>
  </si>
  <si>
    <t>Nadia Wijaya</t>
  </si>
  <si>
    <t>TXN-0094</t>
  </si>
  <si>
    <t>CUST-0107</t>
  </si>
  <si>
    <t>Nadia Dewi</t>
  </si>
  <si>
    <t>TXN-0095</t>
  </si>
  <si>
    <t>CUST-0215</t>
  </si>
  <si>
    <t>TXN-0096</t>
  </si>
  <si>
    <t>CUST-0085</t>
  </si>
  <si>
    <t>TXN-0097</t>
  </si>
  <si>
    <t>CUST-0205</t>
  </si>
  <si>
    <t>SATISFIED</t>
  </si>
  <si>
    <t>TXN-0098</t>
  </si>
  <si>
    <t>CUST-0219</t>
  </si>
  <si>
    <t>TXN-0099</t>
  </si>
  <si>
    <t>CUST-0189</t>
  </si>
  <si>
    <t>TXN-0100</t>
  </si>
  <si>
    <t>CUST-0069</t>
  </si>
  <si>
    <t>TXN-0101</t>
  </si>
  <si>
    <t>CUST-0011</t>
  </si>
  <si>
    <t>Maya Saputra</t>
  </si>
  <si>
    <t>TXN-0102</t>
  </si>
  <si>
    <t>CUST-0075</t>
  </si>
  <si>
    <t>bandung</t>
  </si>
  <si>
    <t>TXN-0103</t>
  </si>
  <si>
    <t>CUST-0076</t>
  </si>
  <si>
    <t>Nadia Permata</t>
  </si>
  <si>
    <t>TXN-0104</t>
  </si>
  <si>
    <t>CUST-0170</t>
  </si>
  <si>
    <t>STATIONERY</t>
  </si>
  <si>
    <t xml:space="preserve"> satisfied </t>
  </si>
  <si>
    <t>TXN-0105</t>
  </si>
  <si>
    <t>TXN-0106</t>
  </si>
  <si>
    <t>CUST-0088</t>
  </si>
  <si>
    <t>Raka Santoso</t>
  </si>
  <si>
    <t>TXN-0107</t>
  </si>
  <si>
    <t>CUST-0102</t>
  </si>
  <si>
    <t>TXN-0108</t>
  </si>
  <si>
    <t>TXN-0109</t>
  </si>
  <si>
    <t>CUST-0054</t>
  </si>
  <si>
    <t>JKT</t>
  </si>
  <si>
    <t xml:space="preserve"> delayed </t>
  </si>
  <si>
    <t>TXN-0110</t>
  </si>
  <si>
    <t>INSTAGRAM</t>
  </si>
  <si>
    <t>TXN-0111</t>
  </si>
  <si>
    <t xml:space="preserve"> office supplies </t>
  </si>
  <si>
    <t>TXN-0112</t>
  </si>
  <si>
    <t>CUST-0010</t>
  </si>
  <si>
    <t>TXN-0113</t>
  </si>
  <si>
    <t>TXN-0114</t>
  </si>
  <si>
    <t>06/28/2026</t>
  </si>
  <si>
    <t>TXN-0115</t>
  </si>
  <si>
    <t>TXN-0116</t>
  </si>
  <si>
    <t>Rp 989.095</t>
  </si>
  <si>
    <t>TXN-0117</t>
  </si>
  <si>
    <t>TXN-0118</t>
  </si>
  <si>
    <t>CUST-0045</t>
  </si>
  <si>
    <t>TXN-0119</t>
  </si>
  <si>
    <t>CUST-0201</t>
  </si>
  <si>
    <t>TXN-0120</t>
  </si>
  <si>
    <t>TXN-0121</t>
  </si>
  <si>
    <t>CUST-0162</t>
  </si>
  <si>
    <t>Sari Putri</t>
  </si>
  <si>
    <t>TXN-0122</t>
  </si>
  <si>
    <t>CUST-0166</t>
  </si>
  <si>
    <t>MAYA DEWI</t>
  </si>
  <si>
    <t>TXN-0123</t>
  </si>
  <si>
    <t>TXN-0124</t>
  </si>
  <si>
    <t>CUST-0036</t>
  </si>
  <si>
    <t>Fajar Santoso</t>
  </si>
  <si>
    <t>TXN-0125</t>
  </si>
  <si>
    <t>CUST-0022</t>
  </si>
  <si>
    <t>TXN-0126</t>
  </si>
  <si>
    <t>CUST-0108</t>
  </si>
  <si>
    <t>Bima Dewi</t>
  </si>
  <si>
    <t>TXN-0127</t>
  </si>
  <si>
    <t>CUST-0180</t>
  </si>
  <si>
    <t>Bima Pratama</t>
  </si>
  <si>
    <t>TXN-0128</t>
  </si>
  <si>
    <t>CUST-0226</t>
  </si>
  <si>
    <t>Alya Dewi</t>
  </si>
  <si>
    <t>TXN-0129</t>
  </si>
  <si>
    <t xml:space="preserve"> citra lestari </t>
  </si>
  <si>
    <t>TXN-0130</t>
  </si>
  <si>
    <t>CUST-0216</t>
  </si>
  <si>
    <t>Raka Putri</t>
  </si>
  <si>
    <t>TXN-0131</t>
  </si>
  <si>
    <t>TXN-0132</t>
  </si>
  <si>
    <t>CUST-0171</t>
  </si>
  <si>
    <t>TXN-0133</t>
  </si>
  <si>
    <t>TXN-0134</t>
  </si>
  <si>
    <t>CUST-0174</t>
  </si>
  <si>
    <t>TXN-0135</t>
  </si>
  <si>
    <t>TXN-0136</t>
  </si>
  <si>
    <t>TXN-0137</t>
  </si>
  <si>
    <t>05/04/2026</t>
  </si>
  <si>
    <t>TXN-0138</t>
  </si>
  <si>
    <t>CUST-0203</t>
  </si>
  <si>
    <t>TXN-0139</t>
  </si>
  <si>
    <t>CUST-0032</t>
  </si>
  <si>
    <t>TXN-0140</t>
  </si>
  <si>
    <t>TXN-0141</t>
  </si>
  <si>
    <t>TXN-0142</t>
  </si>
  <si>
    <t>CUST-0222</t>
  </si>
  <si>
    <t>TXN-0143</t>
  </si>
  <si>
    <t>CUST-0146</t>
  </si>
  <si>
    <t>TXN-0144</t>
  </si>
  <si>
    <t>CUST-0213</t>
  </si>
  <si>
    <t>TXN-0145</t>
  </si>
  <si>
    <t>CUST-0112</t>
  </si>
  <si>
    <t>TXN-0146</t>
  </si>
  <si>
    <t>cust-0074</t>
  </si>
  <si>
    <t>TXN-0147</t>
  </si>
  <si>
    <t>TXN-0148</t>
  </si>
  <si>
    <t>TXN-0149</t>
  </si>
  <si>
    <t>TXN-0150</t>
  </si>
  <si>
    <t>CUST-0064</t>
  </si>
  <si>
    <t>TXN-0151</t>
  </si>
  <si>
    <t>TXN-0152</t>
  </si>
  <si>
    <t>CUST-0016</t>
  </si>
  <si>
    <t>TXN-0153</t>
  </si>
  <si>
    <t>TXN-0154</t>
  </si>
  <si>
    <t>CUST-0227</t>
  </si>
  <si>
    <t>surabaya</t>
  </si>
  <si>
    <t xml:space="preserve"> stationery </t>
  </si>
  <si>
    <t>TXN-0155</t>
  </si>
  <si>
    <t>CUST-0005</t>
  </si>
  <si>
    <t>Nadia Saputra</t>
  </si>
  <si>
    <t>TXN-0156</t>
  </si>
  <si>
    <t>TXN-0157</t>
  </si>
  <si>
    <t>CUST-0100</t>
  </si>
  <si>
    <t>Rp 155.363</t>
  </si>
  <si>
    <t>TXN-0158</t>
  </si>
  <si>
    <t>CUST-0175</t>
  </si>
  <si>
    <t>Bima Permata</t>
  </si>
  <si>
    <t>VERY SATISFIED</t>
  </si>
  <si>
    <t>TXN-0159</t>
  </si>
  <si>
    <t>TXN-0160</t>
  </si>
  <si>
    <t>CUST-0169</t>
  </si>
  <si>
    <t xml:space="preserve"> event </t>
  </si>
  <si>
    <t>TXN-0161</t>
  </si>
  <si>
    <t>TXN-0162</t>
  </si>
  <si>
    <t>CUST-0111</t>
  </si>
  <si>
    <t>TXN-0163</t>
  </si>
  <si>
    <t>TXN-0164</t>
  </si>
  <si>
    <t>CUST-0020</t>
  </si>
  <si>
    <t>TXN-0165</t>
  </si>
  <si>
    <t>OFFICE SUPPLIES</t>
  </si>
  <si>
    <t>TXN-0166</t>
  </si>
  <si>
    <t>CUST-0019</t>
  </si>
  <si>
    <t>TXN-0167</t>
  </si>
  <si>
    <t>TXN-0168</t>
  </si>
  <si>
    <t>TXN-0169</t>
  </si>
  <si>
    <t>CUST-0204</t>
  </si>
  <si>
    <t>TXN-0170</t>
  </si>
  <si>
    <t>CUST-0027</t>
  </si>
  <si>
    <t>TXN-0171</t>
  </si>
  <si>
    <t>EVENT</t>
  </si>
  <si>
    <t>TXN-0172</t>
  </si>
  <si>
    <t xml:space="preserve"> fajar wijaya </t>
  </si>
  <si>
    <t>TXN-0173</t>
  </si>
  <si>
    <t>CUST-0015</t>
  </si>
  <si>
    <t>Alya Santoso</t>
  </si>
  <si>
    <t>03/02/2026</t>
  </si>
  <si>
    <t>TXN-0174</t>
  </si>
  <si>
    <t>TXN-0175</t>
  </si>
  <si>
    <t>TXN-0176</t>
  </si>
  <si>
    <t>CUST-0124</t>
  </si>
  <si>
    <t>TXN-0177</t>
  </si>
  <si>
    <t>TXN-0178</t>
  </si>
  <si>
    <t>TXN-0179</t>
  </si>
  <si>
    <t>TXN-0180</t>
  </si>
  <si>
    <t>CUST-0062</t>
  </si>
  <si>
    <t>TXN-0181</t>
  </si>
  <si>
    <t>TXN-0182</t>
  </si>
  <si>
    <t>TXN-0183</t>
  </si>
  <si>
    <t>RAKA PERMATA</t>
  </si>
  <si>
    <t>TXN-0184</t>
  </si>
  <si>
    <t>CUST-0046</t>
  </si>
  <si>
    <t>24/03/2026</t>
  </si>
  <si>
    <t>TXN-0185</t>
  </si>
  <si>
    <t>TXN-0186</t>
  </si>
  <si>
    <t>CUST-0066</t>
  </si>
  <si>
    <t>TXN-0187</t>
  </si>
  <si>
    <t>CUST-0132</t>
  </si>
  <si>
    <t>TXN-0188</t>
  </si>
  <si>
    <t>TXN-0189</t>
  </si>
  <si>
    <t>TXN-0190</t>
  </si>
  <si>
    <t>TXN-0191</t>
  </si>
  <si>
    <t>TXN-0192</t>
  </si>
  <si>
    <t>CUST-0185</t>
  </si>
  <si>
    <t>TXN-0193</t>
  </si>
  <si>
    <t>TXN-0194</t>
  </si>
  <si>
    <t>TXN-0195</t>
  </si>
  <si>
    <t>TXN-0196</t>
  </si>
  <si>
    <t>CUST-0044</t>
  </si>
  <si>
    <t>TXN-0197</t>
  </si>
  <si>
    <t>CUST-0060</t>
  </si>
  <si>
    <t>TXN-0198</t>
  </si>
  <si>
    <t>CUST-0029</t>
  </si>
  <si>
    <t>Rp 2.370.047</t>
  </si>
  <si>
    <t>TXN-0199</t>
  </si>
  <si>
    <t>CUST-0210</t>
  </si>
  <si>
    <t>TXN-0200</t>
  </si>
  <si>
    <t>TXN-0201</t>
  </si>
  <si>
    <t>TXN-0202</t>
  </si>
  <si>
    <t>TXN-0203</t>
  </si>
  <si>
    <t xml:space="preserve"> marketplace </t>
  </si>
  <si>
    <t>TXN-0204</t>
  </si>
  <si>
    <t>CUST-0095</t>
  </si>
  <si>
    <t>TXN-0205</t>
  </si>
  <si>
    <t>CUST-0119</t>
  </si>
  <si>
    <t>TXN-0206</t>
  </si>
  <si>
    <t>TXN-0207</t>
  </si>
  <si>
    <t>TXN-0208</t>
  </si>
  <si>
    <t>TXN-0209</t>
  </si>
  <si>
    <t>TXN-0210</t>
  </si>
  <si>
    <t>TXN-0211</t>
  </si>
  <si>
    <t>TXN-0212</t>
  </si>
  <si>
    <t>TXN-0213</t>
  </si>
  <si>
    <t>CUST-0057</t>
  </si>
  <si>
    <t>TXN-0214</t>
  </si>
  <si>
    <t>CUST-0183</t>
  </si>
  <si>
    <t>TXN-0215</t>
  </si>
  <si>
    <t>CUST-0218</t>
  </si>
  <si>
    <t xml:space="preserve"> citra permata </t>
  </si>
  <si>
    <t>TXN-0216</t>
  </si>
  <si>
    <t>TXN-0217</t>
  </si>
  <si>
    <t>TXN-0218</t>
  </si>
  <si>
    <t>TXN-0219</t>
  </si>
  <si>
    <t>cust-0063</t>
  </si>
  <si>
    <t>TXN-0220</t>
  </si>
  <si>
    <t>TXN-0221</t>
  </si>
  <si>
    <t>TXN-0222</t>
  </si>
  <si>
    <t>TXN-0223</t>
  </si>
  <si>
    <t>TXN-0224</t>
  </si>
  <si>
    <t>CUST-0110</t>
  </si>
  <si>
    <t>TXN-0225</t>
  </si>
  <si>
    <t>TXN-0226</t>
  </si>
  <si>
    <t>FURNITURE</t>
  </si>
  <si>
    <t>TXN-0227</t>
  </si>
  <si>
    <t>CUST-0105</t>
  </si>
  <si>
    <t>TXN-0228</t>
  </si>
  <si>
    <t>CUST-0179</t>
  </si>
  <si>
    <t>TXN-0229</t>
  </si>
  <si>
    <t>TXN-0230</t>
  </si>
  <si>
    <t>TXN-0231</t>
  </si>
  <si>
    <t>CUST-0193</t>
  </si>
  <si>
    <t>23/01/2026</t>
  </si>
  <si>
    <t>TXN-0232</t>
  </si>
  <si>
    <t>05/06/2026</t>
  </si>
  <si>
    <t>ORGANIC SEARCH</t>
  </si>
  <si>
    <t>TXN-0233</t>
  </si>
  <si>
    <t>TXN-0234</t>
  </si>
  <si>
    <t>TXN-0235</t>
  </si>
  <si>
    <t>TXN-0236</t>
  </si>
  <si>
    <t>TXN-0237</t>
  </si>
  <si>
    <t>CUST-0239</t>
  </si>
  <si>
    <t>TXN-0238</t>
  </si>
  <si>
    <t>CUST-0097</t>
  </si>
  <si>
    <t>TXN-0239</t>
  </si>
  <si>
    <t>Rp 2.345.620</t>
  </si>
  <si>
    <t>TXN-0240</t>
  </si>
  <si>
    <t>CUST-0001</t>
  </si>
  <si>
    <t>TXN-0241</t>
  </si>
  <si>
    <t>CUST-0103</t>
  </si>
  <si>
    <t>TXN-0242</t>
  </si>
  <si>
    <t>CUST-0156</t>
  </si>
  <si>
    <t>Dimas Putri</t>
  </si>
  <si>
    <t>TXN-0243</t>
  </si>
  <si>
    <t>TXN-0244</t>
  </si>
  <si>
    <t>CUST-0042</t>
  </si>
  <si>
    <t>FAJAR PERMATA</t>
  </si>
  <si>
    <t>TXN-0245</t>
  </si>
  <si>
    <t>TXN-0246</t>
  </si>
  <si>
    <t>CUST-0207</t>
  </si>
  <si>
    <t xml:space="preserve"> organic search </t>
  </si>
  <si>
    <t>TXN-0247</t>
  </si>
  <si>
    <t>TXN-0248</t>
  </si>
  <si>
    <t>CUST-0198</t>
  </si>
  <si>
    <t>TXN-0249</t>
  </si>
  <si>
    <t>TXN-0250</t>
  </si>
  <si>
    <t>CUST-0129</t>
  </si>
  <si>
    <t>TXN-0251</t>
  </si>
  <si>
    <t>TXN-0252</t>
  </si>
  <si>
    <t>CUST-0209</t>
  </si>
  <si>
    <t>TXN-0253</t>
  </si>
  <si>
    <t>CUST-0136</t>
  </si>
  <si>
    <t>TXN-0254</t>
  </si>
  <si>
    <t>CUST-0168</t>
  </si>
  <si>
    <t>TXN-0255</t>
  </si>
  <si>
    <t>CUST-0093</t>
  </si>
  <si>
    <t>TXN-0256</t>
  </si>
  <si>
    <t>TXN-0257</t>
  </si>
  <si>
    <t>TXN-0258</t>
  </si>
  <si>
    <t xml:space="preserve"> sari putri </t>
  </si>
  <si>
    <t>TXN-0259</t>
  </si>
  <si>
    <t>TXN-0260</t>
  </si>
  <si>
    <t>CUST-0084</t>
  </si>
  <si>
    <t>TXN-0261</t>
  </si>
  <si>
    <t>TXN-0262</t>
  </si>
  <si>
    <t>TXN-0263</t>
  </si>
  <si>
    <t>TXN-0264</t>
  </si>
  <si>
    <t>TXN-0265</t>
  </si>
  <si>
    <t>CUST-0061</t>
  </si>
  <si>
    <t>TXN-0266</t>
  </si>
  <si>
    <t>TXN-0267</t>
  </si>
  <si>
    <t>TXN-0268</t>
  </si>
  <si>
    <t>TXN-0269</t>
  </si>
  <si>
    <t>TXN-0270</t>
  </si>
  <si>
    <t>CUST-0003</t>
  </si>
  <si>
    <t>TXN-0271</t>
  </si>
  <si>
    <t>TXN-0272</t>
  </si>
  <si>
    <t>TXN-0273</t>
  </si>
  <si>
    <t>TXN-0274</t>
  </si>
  <si>
    <t>TXN-0275</t>
  </si>
  <si>
    <t>TXN-0276</t>
  </si>
  <si>
    <t>TXN-0277</t>
  </si>
  <si>
    <t>CUST-0234</t>
  </si>
  <si>
    <t>TXN-0278</t>
  </si>
  <si>
    <t>CUST-0173</t>
  </si>
  <si>
    <t>15/05/2026</t>
  </si>
  <si>
    <t>TXN-0279</t>
  </si>
  <si>
    <t>TXN-0280</t>
  </si>
  <si>
    <t>Rp 129.371</t>
  </si>
  <si>
    <t>TXN-0281</t>
  </si>
  <si>
    <t>TXN-0282</t>
  </si>
  <si>
    <t>CUST-0091</t>
  </si>
  <si>
    <t>Rizky Pratama</t>
  </si>
  <si>
    <t>TXN-0283</t>
  </si>
  <si>
    <t>CUST-0040</t>
  </si>
  <si>
    <t xml:space="preserve"> furniture </t>
  </si>
  <si>
    <t>TXN-0284</t>
  </si>
  <si>
    <t>CUST-0113</t>
  </si>
  <si>
    <t>Raka Dewi</t>
  </si>
  <si>
    <t>TXN-0285</t>
  </si>
  <si>
    <t>TXN-0286</t>
  </si>
  <si>
    <t>TXN-0287</t>
  </si>
  <si>
    <t>TXN-0288</t>
  </si>
  <si>
    <t>CUST-0153</t>
  </si>
  <si>
    <t>TXN-0289</t>
  </si>
  <si>
    <t>TXN-0290</t>
  </si>
  <si>
    <t>TXN-0291</t>
  </si>
  <si>
    <t>CUST-0024</t>
  </si>
  <si>
    <t>01/14/2026</t>
  </si>
  <si>
    <t>TXN-0292</t>
  </si>
  <si>
    <t>cust-0016</t>
  </si>
  <si>
    <t>TXN-0293</t>
  </si>
  <si>
    <t xml:space="preserve"> vip </t>
  </si>
  <si>
    <t>TXN-0294</t>
  </si>
  <si>
    <t>TXN-0295</t>
  </si>
  <si>
    <t>TXN-0296</t>
  </si>
  <si>
    <t>TXN-0297</t>
  </si>
  <si>
    <t>TXN-0298</t>
  </si>
  <si>
    <t>TXN-0299</t>
  </si>
  <si>
    <t>TXN-0300</t>
  </si>
  <si>
    <t>TXN-0301</t>
  </si>
  <si>
    <t>CUST-0147</t>
  </si>
  <si>
    <t xml:space="preserve"> bima permata </t>
  </si>
  <si>
    <t>TXN-0302</t>
  </si>
  <si>
    <t>TXN-0303</t>
  </si>
  <si>
    <t>CUST-0165</t>
  </si>
  <si>
    <t>TXN-0304</t>
  </si>
  <si>
    <t>TXN-0305</t>
  </si>
  <si>
    <t>CITRA PUTRI</t>
  </si>
  <si>
    <t>TXN-0306</t>
  </si>
  <si>
    <t>TXN-0307</t>
  </si>
  <si>
    <t>TXN-0308</t>
  </si>
  <si>
    <t>TXN-0309</t>
  </si>
  <si>
    <t>TXN-0310</t>
  </si>
  <si>
    <t>jakarta</t>
  </si>
  <si>
    <t>TXN-0311</t>
  </si>
  <si>
    <t>TXN-0312</t>
  </si>
  <si>
    <t>CUST-0006</t>
  </si>
  <si>
    <t>TXN-0313</t>
  </si>
  <si>
    <t>CUST-0059</t>
  </si>
  <si>
    <t>TXN-0314</t>
  </si>
  <si>
    <t>CUST-0058</t>
  </si>
  <si>
    <t>TXN-0315</t>
  </si>
  <si>
    <t>TXN-0316</t>
  </si>
  <si>
    <t>CUST-0235</t>
  </si>
  <si>
    <t>Dimas Saputra</t>
  </si>
  <si>
    <t>TXN-0317</t>
  </si>
  <si>
    <t>TXN-0318</t>
  </si>
  <si>
    <t>TXN-0319</t>
  </si>
  <si>
    <t>TXN-0320</t>
  </si>
  <si>
    <t>CUST-0135</t>
  </si>
  <si>
    <t>TXN-0321</t>
  </si>
  <si>
    <t>CUST-0236</t>
  </si>
  <si>
    <t>Rp 369.885</t>
  </si>
  <si>
    <t>TXN-0322</t>
  </si>
  <si>
    <t>CUST-0063</t>
  </si>
  <si>
    <t>TXN-0323</t>
  </si>
  <si>
    <t>TXN-0324</t>
  </si>
  <si>
    <t>CUST-0021</t>
  </si>
  <si>
    <t>TXN-0325</t>
  </si>
  <si>
    <t>16/04/2026</t>
  </si>
  <si>
    <t>TXN-0326</t>
  </si>
  <si>
    <t>TXN-0327</t>
  </si>
  <si>
    <t>CUST-0182</t>
  </si>
  <si>
    <t>TXN-0328</t>
  </si>
  <si>
    <t>TXN-0329</t>
  </si>
  <si>
    <t>CUST-0206</t>
  </si>
  <si>
    <t>TXN-0330</t>
  </si>
  <si>
    <t>TXN-0331</t>
  </si>
  <si>
    <t>TXN-0332</t>
  </si>
  <si>
    <t xml:space="preserve"> referral </t>
  </si>
  <si>
    <t>TXN-0333</t>
  </si>
  <si>
    <t>TXN-0334</t>
  </si>
  <si>
    <t>TXN-0335</t>
  </si>
  <si>
    <t>TXN-0336</t>
  </si>
  <si>
    <t>TXN-0337</t>
  </si>
  <si>
    <t>TXN-0338</t>
  </si>
  <si>
    <t>TXN-0339</t>
  </si>
  <si>
    <t>TXN-0340</t>
  </si>
  <si>
    <t>CUST-0190</t>
  </si>
  <si>
    <t>Maya Dewi</t>
  </si>
  <si>
    <t>TXN-0341</t>
  </si>
  <si>
    <t>CUST-0172</t>
  </si>
  <si>
    <t>Dimas Dewi</t>
  </si>
  <si>
    <t>TXN-0342</t>
  </si>
  <si>
    <t>TXN-0343</t>
  </si>
  <si>
    <t>TXN-0344</t>
  </si>
  <si>
    <t xml:space="preserve"> alya dewi </t>
  </si>
  <si>
    <t>TXN-0345</t>
  </si>
  <si>
    <t>TXN-0346</t>
  </si>
  <si>
    <t>RETURNED</t>
  </si>
  <si>
    <t>TXN-0347</t>
  </si>
  <si>
    <t>TXN-0348</t>
  </si>
  <si>
    <t>CUST-0083</t>
  </si>
  <si>
    <t>TXN-0349</t>
  </si>
  <si>
    <t>TXN-0350</t>
  </si>
  <si>
    <t>05/20/2026</t>
  </si>
  <si>
    <t>TXN-0351</t>
  </si>
  <si>
    <t>TXN-0352</t>
  </si>
  <si>
    <t>TXN-0353</t>
  </si>
  <si>
    <t>TXN-0354</t>
  </si>
  <si>
    <t>CUST-0158</t>
  </si>
  <si>
    <t>TXN-0355</t>
  </si>
  <si>
    <t>TXN-0356</t>
  </si>
  <si>
    <t>TXN-0357</t>
  </si>
  <si>
    <t>TXN-0358</t>
  </si>
  <si>
    <t>TXN-0359</t>
  </si>
  <si>
    <t>CUST-0104</t>
  </si>
  <si>
    <t>TXN-0360</t>
  </si>
  <si>
    <t>TXN-0361</t>
  </si>
  <si>
    <t>TXN-0362</t>
  </si>
  <si>
    <t>Rp 1.050.108</t>
  </si>
  <si>
    <t>TXN-0363</t>
  </si>
  <si>
    <t>TXN-0364</t>
  </si>
  <si>
    <t>TXN-0365</t>
  </si>
  <si>
    <t>cust-0125</t>
  </si>
  <si>
    <t>TXN-0366</t>
  </si>
  <si>
    <t>CUST-0232</t>
  </si>
  <si>
    <t>SARI PRATAMA</t>
  </si>
  <si>
    <t>TXN-0367</t>
  </si>
  <si>
    <t>CUST-0041</t>
  </si>
  <si>
    <t>TXN-0368</t>
  </si>
  <si>
    <t>CUST-0231</t>
  </si>
  <si>
    <t>BDG</t>
  </si>
  <si>
    <t>TXN-0369</t>
  </si>
  <si>
    <t>TXN-0370</t>
  </si>
  <si>
    <t>CUST-0051</t>
  </si>
  <si>
    <t>TXN-0371</t>
  </si>
  <si>
    <t>TXN-0372</t>
  </si>
  <si>
    <t>11/06/2026</t>
  </si>
  <si>
    <t>TXN-0373</t>
  </si>
  <si>
    <t>TXN-0374</t>
  </si>
  <si>
    <t>TXN-0375</t>
  </si>
  <si>
    <t>TXN-0376</t>
  </si>
  <si>
    <t>TXN-0377</t>
  </si>
  <si>
    <t>TXN-0378</t>
  </si>
  <si>
    <t>TXN-0379</t>
  </si>
  <si>
    <t>TXN-0380</t>
  </si>
  <si>
    <t>CUST-0101</t>
  </si>
  <si>
    <t>TXN-0381</t>
  </si>
  <si>
    <t>CUST-0212</t>
  </si>
  <si>
    <t>TXN-0382</t>
  </si>
  <si>
    <t>TXN-0383</t>
  </si>
  <si>
    <t>TXN-0384</t>
  </si>
  <si>
    <t>TXN-0385</t>
  </si>
  <si>
    <t>CUST-0197</t>
  </si>
  <si>
    <t>TXN-0386</t>
  </si>
  <si>
    <t>CUST-0055</t>
  </si>
  <si>
    <t>TXN-0387</t>
  </si>
  <si>
    <t xml:space="preserve"> citra putri </t>
  </si>
  <si>
    <t>TXN-0388</t>
  </si>
  <si>
    <t>CUST-0200</t>
  </si>
  <si>
    <t>TXN-0389</t>
  </si>
  <si>
    <t>TXN-0390</t>
  </si>
  <si>
    <t>TXN-0391</t>
  </si>
  <si>
    <t>TXN-0392</t>
  </si>
  <si>
    <t>TXN-0393</t>
  </si>
  <si>
    <t>TXN-0394</t>
  </si>
  <si>
    <t>TXN-0395</t>
  </si>
  <si>
    <t>TXN-0396</t>
  </si>
  <si>
    <t>TXN-0397</t>
  </si>
  <si>
    <t>TXN-0398</t>
  </si>
  <si>
    <t>TXN-0399</t>
  </si>
  <si>
    <t>CUST-0126</t>
  </si>
  <si>
    <t>TXN-0400</t>
  </si>
  <si>
    <t>TXN-0401</t>
  </si>
  <si>
    <t>TXN-0402</t>
  </si>
  <si>
    <t>CUST-0225</t>
  </si>
  <si>
    <t>TXN-0403</t>
  </si>
  <si>
    <t>Rp 2.301.364</t>
  </si>
  <si>
    <t>TXN-0404</t>
  </si>
  <si>
    <t>TXN-0405</t>
  </si>
  <si>
    <t>CUST-0017</t>
  </si>
  <si>
    <t xml:space="preserve"> neutral </t>
  </si>
  <si>
    <t>TXN-0406</t>
  </si>
  <si>
    <t>TXN-0407</t>
  </si>
  <si>
    <t>CUST-0188</t>
  </si>
  <si>
    <t>TXN-0408</t>
  </si>
  <si>
    <t>TXN-0409</t>
  </si>
  <si>
    <t>04/17/2026</t>
  </si>
  <si>
    <t>TXN-0410</t>
  </si>
  <si>
    <t xml:space="preserve"> cancelled </t>
  </si>
  <si>
    <t>TXN-0411</t>
  </si>
  <si>
    <t>TXN-0412</t>
  </si>
  <si>
    <t>TXN-0413</t>
  </si>
  <si>
    <t>TXN-0414</t>
  </si>
  <si>
    <t>CUST-0145</t>
  </si>
  <si>
    <t>TXN-0415</t>
  </si>
  <si>
    <t>TXN-0416</t>
  </si>
  <si>
    <t>TXN-0417</t>
  </si>
  <si>
    <t>TXN-0418</t>
  </si>
  <si>
    <t>TXN-0419</t>
  </si>
  <si>
    <t>20/06/2026</t>
  </si>
  <si>
    <t>NEW CUSTOMER</t>
  </si>
  <si>
    <t>TXN-0420</t>
  </si>
  <si>
    <t>TXN-0421</t>
  </si>
  <si>
    <t>TXN-0422</t>
  </si>
  <si>
    <t>CUST-0090</t>
  </si>
  <si>
    <t>TXN-0423</t>
  </si>
  <si>
    <t>TXN-0424</t>
  </si>
  <si>
    <t>CUST-0034</t>
  </si>
  <si>
    <t>TXN-0425</t>
  </si>
  <si>
    <t>TXN-0426</t>
  </si>
  <si>
    <t>CUST-0237</t>
  </si>
  <si>
    <t>TXN-0427</t>
  </si>
  <si>
    <t>DIMAS SANTOSO</t>
  </si>
  <si>
    <t>TXN-0428</t>
  </si>
  <si>
    <t>TXN-0429</t>
  </si>
  <si>
    <t>TXN-0430</t>
  </si>
  <si>
    <t xml:space="preserve"> rizky wijaya </t>
  </si>
  <si>
    <t>TXN-0431</t>
  </si>
  <si>
    <t>TXN-0432</t>
  </si>
  <si>
    <t>TXN-0433</t>
  </si>
  <si>
    <t>TXN-0434</t>
  </si>
  <si>
    <t>CUST-0087</t>
  </si>
  <si>
    <t>TXN-0435</t>
  </si>
  <si>
    <t>TXN-0436</t>
  </si>
  <si>
    <t>TXN-0437</t>
  </si>
  <si>
    <t>TXN-0438</t>
  </si>
  <si>
    <t>cust-0179</t>
  </si>
  <si>
    <t>TXN-0439</t>
  </si>
  <si>
    <t>TXN-0440</t>
  </si>
  <si>
    <t>TXN-0441</t>
  </si>
  <si>
    <t>CUST-0123</t>
  </si>
  <si>
    <t>TXN-0442</t>
  </si>
  <si>
    <t>TXN-0443</t>
  </si>
  <si>
    <t>TXN-0444</t>
  </si>
  <si>
    <t>Rp 1.966.657</t>
  </si>
  <si>
    <t>TXN-0445</t>
  </si>
  <si>
    <t>TXN-0446</t>
  </si>
  <si>
    <t>CUST-0053</t>
  </si>
  <si>
    <t>TXN-0447</t>
  </si>
  <si>
    <t>TXN-0448</t>
  </si>
  <si>
    <t>TXN-0449</t>
  </si>
  <si>
    <t>TXN-0450</t>
  </si>
  <si>
    <t>TXN-0451</t>
  </si>
  <si>
    <t>TXN-0452</t>
  </si>
  <si>
    <t>TXN-0453</t>
  </si>
  <si>
    <t>TXN-0454</t>
  </si>
  <si>
    <t>TXN-0455</t>
  </si>
  <si>
    <t>TXN-0456</t>
  </si>
  <si>
    <t>TXN-0457</t>
  </si>
  <si>
    <t>TXN-0458</t>
  </si>
  <si>
    <t>CUST-0028</t>
  </si>
  <si>
    <t>Dimas Wijaya</t>
  </si>
  <si>
    <t>TXN-0459</t>
  </si>
  <si>
    <t>TXN-0460</t>
  </si>
  <si>
    <t>TXN-0461</t>
  </si>
  <si>
    <t>TXN-0462</t>
  </si>
  <si>
    <t>TXN-0463</t>
  </si>
  <si>
    <t>TXN-0464</t>
  </si>
  <si>
    <t>TXN-0465</t>
  </si>
  <si>
    <t>TXN-0466</t>
  </si>
  <si>
    <t>TXN-0467</t>
  </si>
  <si>
    <t>TXN-0468</t>
  </si>
  <si>
    <t>05/03/2026</t>
  </si>
  <si>
    <t>TXN-0469</t>
  </si>
  <si>
    <t>TXN-0470</t>
  </si>
  <si>
    <t>TXN-0471</t>
  </si>
  <si>
    <t>CUST-0194</t>
  </si>
  <si>
    <t>TXN-0472</t>
  </si>
  <si>
    <t>TXN-0473</t>
  </si>
  <si>
    <t xml:space="preserve"> dimas santoso </t>
  </si>
  <si>
    <t>TXN-0474</t>
  </si>
  <si>
    <t>TXN-0475</t>
  </si>
  <si>
    <t>TXN-0476</t>
  </si>
  <si>
    <t>TXN-0477</t>
  </si>
  <si>
    <t>TXN-0478</t>
  </si>
  <si>
    <t>TXN-0479</t>
  </si>
  <si>
    <t>CUST-0133</t>
  </si>
  <si>
    <t>TXN-0480</t>
  </si>
  <si>
    <t>RETURNING CUSTOMER</t>
  </si>
  <si>
    <t>TXN-0481</t>
  </si>
  <si>
    <t>TXN-0482</t>
  </si>
  <si>
    <t>TXN-0483</t>
  </si>
  <si>
    <t>CUST-0199</t>
  </si>
  <si>
    <t>TXN-0484</t>
  </si>
  <si>
    <t>CUST-0067</t>
  </si>
  <si>
    <t>TXN-0485</t>
  </si>
  <si>
    <t>CUST-0163</t>
  </si>
  <si>
    <t>Rp 1.413.987</t>
  </si>
  <si>
    <t>TXN-0486</t>
  </si>
  <si>
    <t>TXN-0487</t>
  </si>
  <si>
    <t>TXN-0488</t>
  </si>
  <si>
    <t>RIZKY DEWI</t>
  </si>
  <si>
    <t>TXN-0489</t>
  </si>
  <si>
    <t>TXN-0490</t>
  </si>
  <si>
    <t>TXN-0491</t>
  </si>
  <si>
    <t>CUST-0025</t>
  </si>
  <si>
    <t>TXN-0492</t>
  </si>
  <si>
    <t>TXN-0493</t>
  </si>
  <si>
    <t>TXN-0494</t>
  </si>
  <si>
    <t>TXN-0495</t>
  </si>
  <si>
    <t>TXN-0496</t>
  </si>
  <si>
    <t>TXN-0497</t>
  </si>
  <si>
    <t>TXN-0498</t>
  </si>
  <si>
    <t>CUST-0167</t>
  </si>
  <si>
    <t>TXN-0499</t>
  </si>
  <si>
    <t>TXN-0500</t>
  </si>
  <si>
    <t>CUST-0161</t>
  </si>
  <si>
    <t>TXN-0501</t>
  </si>
  <si>
    <t>TXN-0502</t>
  </si>
  <si>
    <t>TXN-0503</t>
  </si>
  <si>
    <t>TXN-0504</t>
  </si>
  <si>
    <t>TXN-0505</t>
  </si>
  <si>
    <t>TXN-0506</t>
  </si>
  <si>
    <t>TXN-0507</t>
  </si>
  <si>
    <t>TXN-0508</t>
  </si>
  <si>
    <t>TXN-0509</t>
  </si>
  <si>
    <t>TXN-0510</t>
  </si>
  <si>
    <t>TXN-0511</t>
  </si>
  <si>
    <t>cust-0143</t>
  </si>
  <si>
    <t>TXN-0512</t>
  </si>
  <si>
    <t>TXN-0513</t>
  </si>
  <si>
    <t>06/03/2026</t>
  </si>
  <si>
    <t>TXN-0514</t>
  </si>
  <si>
    <t>TXN-0515</t>
  </si>
  <si>
    <t>CUST-0157</t>
  </si>
  <si>
    <t>TXN-0516</t>
  </si>
  <si>
    <t xml:space="preserve"> dimas dewi </t>
  </si>
  <si>
    <t>SBY</t>
  </si>
  <si>
    <t>TXN-0517</t>
  </si>
  <si>
    <t>TXN-0518</t>
  </si>
  <si>
    <t>TXN-0519</t>
  </si>
  <si>
    <t>TXN-0520</t>
  </si>
  <si>
    <t>TXN-0521</t>
  </si>
  <si>
    <t>TXN-0522</t>
  </si>
  <si>
    <t>TXN-0523</t>
  </si>
  <si>
    <t>TXN-0524</t>
  </si>
  <si>
    <t>DISSATISFIED</t>
  </si>
  <si>
    <t>TXN-0525</t>
  </si>
  <si>
    <t>TXN-0526</t>
  </si>
  <si>
    <t>Rp 603.595</t>
  </si>
  <si>
    <t>TXN-0527</t>
  </si>
  <si>
    <t>05/31/2026</t>
  </si>
  <si>
    <t>TXN-0528</t>
  </si>
  <si>
    <t>TXN-0529</t>
  </si>
  <si>
    <t>DELAYED</t>
  </si>
  <si>
    <t>TXN-0530</t>
  </si>
  <si>
    <t>TXN-0531</t>
  </si>
  <si>
    <t>TXN-0532</t>
  </si>
  <si>
    <t>TXN-0533</t>
  </si>
  <si>
    <t>TXN-0534</t>
  </si>
  <si>
    <t>CUST-0089</t>
  </si>
  <si>
    <t>TXN-0535</t>
  </si>
  <si>
    <t>TXN-0536</t>
  </si>
  <si>
    <t>TXN-0537</t>
  </si>
  <si>
    <t>WEBSITE</t>
  </si>
  <si>
    <t>TXN-0538</t>
  </si>
  <si>
    <t>TXN-0539</t>
  </si>
  <si>
    <t>TXN-0540</t>
  </si>
  <si>
    <t>TXN-0541</t>
  </si>
  <si>
    <t>TXN-0542</t>
  </si>
  <si>
    <t>TXN-0543</t>
  </si>
  <si>
    <t>TXN-0544</t>
  </si>
  <si>
    <t>CUST-0065</t>
  </si>
  <si>
    <t>TXN-0545</t>
  </si>
  <si>
    <t>TXN-0546</t>
  </si>
  <si>
    <t>TXN-0547</t>
  </si>
  <si>
    <t>TXN-0548</t>
  </si>
  <si>
    <t>TXN-0549</t>
  </si>
  <si>
    <t>BIMA PERMATA</t>
  </si>
  <si>
    <t>TXN-0550</t>
  </si>
  <si>
    <t>TXN-0551</t>
  </si>
  <si>
    <t>TXN-0552</t>
  </si>
  <si>
    <t>TXN-0553</t>
  </si>
  <si>
    <t>TXN-0554</t>
  </si>
  <si>
    <t>TXN-0555</t>
  </si>
  <si>
    <t>TXN-0556</t>
  </si>
  <si>
    <t>CUST-0160</t>
  </si>
  <si>
    <t>TXN-0557</t>
  </si>
  <si>
    <t>TXN-0558</t>
  </si>
  <si>
    <t>CUST-0141</t>
  </si>
  <si>
    <t>TXN-0559</t>
  </si>
  <si>
    <t xml:space="preserve"> citra wijaya </t>
  </si>
  <si>
    <t>TXN-0560</t>
  </si>
  <si>
    <t>CUST-0196</t>
  </si>
  <si>
    <t>29/04/2026</t>
  </si>
  <si>
    <t>TXN-0561</t>
  </si>
  <si>
    <t>TXN-0562</t>
  </si>
  <si>
    <t>TXN-0563</t>
  </si>
  <si>
    <t>TXN-0564</t>
  </si>
  <si>
    <t>CUST-0118</t>
  </si>
  <si>
    <t>TXN-0565</t>
  </si>
  <si>
    <t>TXN-0566</t>
  </si>
  <si>
    <t>TXN-0567</t>
  </si>
  <si>
    <t>Rp 1.965.685</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</si>
  <si>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</si>
  <si>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</si>
  <si>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</si>
  <si>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</si>
  <si>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</si>
  <si>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</si>
  <si>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</si>
  <si>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</si>
  <si>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</si>
  <si>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</si>
  <si>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</si>
  <si>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</si>
  <si>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</si>
  <si>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</si>
  <si>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</si>
  <si>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</si>
  <si>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</si>
  <si>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cust-0050</t>
  </si>
  <si>
    <t>TXN-0585</t>
  </si>
  <si>
    <t>TXN-0586</t>
  </si>
  <si>
    <t>05/02/2026</t>
  </si>
  <si>
    <t>TXN-0587</t>
  </si>
  <si>
    <t>TXN-0588</t>
  </si>
  <si>
    <t>TXN-0589</t>
  </si>
  <si>
    <t>TXN-0590</t>
  </si>
  <si>
    <t>CUST-0220</t>
  </si>
  <si>
    <t xml:space="preserve"> instagram </t>
  </si>
  <si>
    <t>TXN-0591</t>
  </si>
  <si>
    <t>TXN-0592</t>
  </si>
  <si>
    <t>ACCESSORIES</t>
  </si>
  <si>
    <t>TXN-0593</t>
  </si>
  <si>
    <t>TXN-0594</t>
  </si>
  <si>
    <t>TXN-0595</t>
  </si>
  <si>
    <t>TXN-0596</t>
  </si>
  <si>
    <t>TXN-0597</t>
  </si>
  <si>
    <t>TXN-0598</t>
  </si>
  <si>
    <t>TXN-0599</t>
  </si>
  <si>
    <t>CUST-0228</t>
  </si>
  <si>
    <t>TXN-0600</t>
  </si>
  <si>
    <t>TXN-0601</t>
  </si>
  <si>
    <t>TXN-0602</t>
  </si>
  <si>
    <t xml:space="preserve"> nadia putri </t>
  </si>
  <si>
    <t>TXN-0603</t>
  </si>
  <si>
    <t>TXN-0604</t>
  </si>
  <si>
    <t>TXN-0605</t>
  </si>
  <si>
    <t>TXN-0606</t>
  </si>
  <si>
    <t>TXN-0607</t>
  </si>
  <si>
    <t>05/01/2026</t>
  </si>
  <si>
    <t>TXN-0608</t>
  </si>
  <si>
    <t>Rp 1.381.203</t>
  </si>
  <si>
    <t>TXN-0609</t>
  </si>
  <si>
    <t>TXN-0610</t>
  </si>
  <si>
    <t>RAKA PRATAMA</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</si>
  <si>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</si>
  <si>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</si>
  <si>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</si>
  <si>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</si>
  <si>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</si>
  <si>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</si>
  <si>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</si>
  <si>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</si>
  <si>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</si>
  <si>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</si>
  <si>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</si>
  <si>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</si>
  <si>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</si>
  <si>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</si>
  <si>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</si>
  <si>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</si>
  <si>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</si>
  <si>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</si>
  <si>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</si>
  <si>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</si>
  <si>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</si>
  <si>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</si>
  <si>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</si>
  <si>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</si>
  <si>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</si>
  <si>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</si>
  <si>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</si>
  <si>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</si>
  <si>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</si>
  <si>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</si>
  <si>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</si>
  <si>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</si>
  <si>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</si>
  <si>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</si>
  <si>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</si>
  <si>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 xml:space="preserve"> rizky santoso </t>
  </si>
  <si>
    <t>02/04/2026</t>
  </si>
  <si>
    <t>TXN-0646</t>
  </si>
  <si>
    <t>TXN-0647</t>
  </si>
  <si>
    <t>TXN-0648</t>
  </si>
  <si>
    <t>TXN-0649</t>
  </si>
  <si>
    <t>Rp 1.648.884</t>
  </si>
  <si>
    <t>TXN-0650</t>
  </si>
  <si>
    <t>TXN-0651</t>
  </si>
  <si>
    <t>TXN-0652</t>
  </si>
  <si>
    <t>CUST-0144</t>
  </si>
  <si>
    <t>TXN-0653</t>
  </si>
  <si>
    <t>TXN-0654</t>
  </si>
  <si>
    <t>28/06/2026</t>
  </si>
  <si>
    <t>TXN-0655</t>
  </si>
  <si>
    <t>TXN-0656</t>
  </si>
  <si>
    <t>TXN-0657</t>
  </si>
  <si>
    <t>cust-0085</t>
  </si>
  <si>
    <t>TXN-0658</t>
  </si>
  <si>
    <t>TXN-0659</t>
  </si>
  <si>
    <t>TXN-0660</t>
  </si>
  <si>
    <t>TXN-0661</t>
  </si>
  <si>
    <t>TXN-0662</t>
  </si>
  <si>
    <t>TXN-0663</t>
  </si>
  <si>
    <t>TXN-0664</t>
  </si>
  <si>
    <t>TXN-0665</t>
  </si>
  <si>
    <t>TXN-0666</t>
  </si>
  <si>
    <t>TXN-0667</t>
  </si>
  <si>
    <t>TXN-0668</t>
  </si>
  <si>
    <t>TXN-0669</t>
  </si>
  <si>
    <t>TXN-0670</t>
  </si>
  <si>
    <t>TXN-0671</t>
  </si>
  <si>
    <t>NADIA PUTRI</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</si>
  <si>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</si>
  <si>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</si>
  <si>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</si>
  <si>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</si>
  <si>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</si>
  <si>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</si>
  <si>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</si>
  <si>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</si>
  <si>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</si>
  <si>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</si>
  <si>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</si>
  <si>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</si>
  <si>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</si>
  <si>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</si>
  <si>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</si>
  <si>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</si>
  <si>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</si>
  <si>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 xml:space="preserve"> nadia lestari </t>
  </si>
  <si>
    <t>TXN-0689</t>
  </si>
  <si>
    <t>TXN-0690</t>
  </si>
  <si>
    <t>Rp 1.644.272</t>
  </si>
  <si>
    <t>TXN-0691</t>
  </si>
  <si>
    <t>TXN-0692</t>
  </si>
  <si>
    <t>TXN-0693</t>
  </si>
  <si>
    <t>TXN-0694</t>
  </si>
  <si>
    <t>TXN-0695</t>
  </si>
  <si>
    <t>TXN-0696</t>
  </si>
  <si>
    <t>TXN-0697</t>
  </si>
  <si>
    <t>TXN-0698</t>
  </si>
  <si>
    <t>TXN-0699</t>
  </si>
  <si>
    <t>TXN-0700</t>
  </si>
  <si>
    <t>TXN-0701</t>
  </si>
  <si>
    <t>09/06/2026</t>
  </si>
  <si>
    <t>TXN-0702</t>
  </si>
  <si>
    <t>TXN-0703</t>
  </si>
  <si>
    <t>CUST-0086</t>
  </si>
  <si>
    <t>TXN-0704</t>
  </si>
  <si>
    <t>TXN-0705</t>
  </si>
  <si>
    <t>TXN-0706</t>
  </si>
  <si>
    <t>TXN-0707</t>
  </si>
  <si>
    <t>TXN-0708</t>
  </si>
  <si>
    <t>TXN-0709</t>
  </si>
  <si>
    <t>CUST-0013</t>
  </si>
  <si>
    <t>TXN-0710</t>
  </si>
  <si>
    <t>TXN-0711</t>
  </si>
  <si>
    <t>TXN-0712</t>
  </si>
  <si>
    <t>TXN-0713</t>
  </si>
  <si>
    <t>TXN-0714</t>
  </si>
  <si>
    <t>TXN-0715</t>
  </si>
  <si>
    <t>TXN-0716</t>
  </si>
  <si>
    <t>TXN-0717</t>
  </si>
  <si>
    <t>TXN-0718</t>
  </si>
  <si>
    <t>TXN-0719</t>
  </si>
  <si>
    <t>TXN-0720</t>
  </si>
  <si>
    <t>TXN-0721</t>
  </si>
  <si>
    <t>CUST-0079</t>
  </si>
  <si>
    <t>TXN-0722</t>
  </si>
  <si>
    <t>TXN-0723</t>
  </si>
  <si>
    <t>CUST-0233</t>
  </si>
  <si>
    <t xml:space="preserve"> returning customer </t>
  </si>
  <si>
    <t>TXN-0724</t>
  </si>
  <si>
    <t>TXN-0725</t>
  </si>
  <si>
    <t>TXN-0726</t>
  </si>
  <si>
    <t>TXN-0727</t>
  </si>
  <si>
    <t>TXN-0728</t>
  </si>
  <si>
    <t>TXN-0729</t>
  </si>
  <si>
    <t>TXN-0730</t>
  </si>
  <si>
    <t>cust-0153</t>
  </si>
  <si>
    <t>TXN-0731</t>
  </si>
  <si>
    <t xml:space="preserve"> fajar saputra </t>
  </si>
  <si>
    <t>Rp 639.736</t>
  </si>
  <si>
    <t>TXN-0732</t>
  </si>
  <si>
    <t>ALYA PUTRI</t>
  </si>
  <si>
    <t>TXN-0733</t>
  </si>
  <si>
    <t>TXN-0734</t>
  </si>
  <si>
    <t>TXN-0735</t>
  </si>
  <si>
    <t>TXN-0736</t>
  </si>
  <si>
    <t>TXN-0737</t>
  </si>
  <si>
    <t>TXN-0738</t>
  </si>
  <si>
    <t>CUST-0007</t>
  </si>
  <si>
    <t>TXN-0739</t>
  </si>
  <si>
    <t>TXN-0740</t>
  </si>
  <si>
    <t>TXN-0741</t>
  </si>
  <si>
    <t>TXN-0742</t>
  </si>
  <si>
    <t>TXN-0743</t>
  </si>
  <si>
    <t>TXN-0744</t>
  </si>
  <si>
    <t>TXN-0745</t>
  </si>
  <si>
    <t>TXN-0746</t>
  </si>
  <si>
    <t>TXN-0747</t>
  </si>
  <si>
    <t>TXN-0748</t>
  </si>
  <si>
    <t>12/06/2026</t>
  </si>
  <si>
    <t>TXN-0749</t>
  </si>
  <si>
    <t>TXN-0750</t>
  </si>
  <si>
    <t>TXN-0751</t>
  </si>
  <si>
    <t>TXN-0752</t>
  </si>
  <si>
    <t>TXN-0753</t>
  </si>
  <si>
    <t>TXN-0754</t>
  </si>
  <si>
    <t>TXN-0755</t>
  </si>
  <si>
    <t>TXN-0756</t>
  </si>
  <si>
    <t>CUST-0211</t>
  </si>
  <si>
    <t>TXN-0757</t>
  </si>
  <si>
    <t>TXN-0758</t>
  </si>
  <si>
    <t>TXN-0759</t>
  </si>
  <si>
    <t>TXN-0760</t>
  </si>
  <si>
    <t>TXN-0761</t>
  </si>
  <si>
    <t>TXN-0762</t>
  </si>
  <si>
    <t>TXN-0763</t>
  </si>
  <si>
    <t>TXN-0764</t>
  </si>
  <si>
    <t>TXN-0765</t>
  </si>
  <si>
    <t>TXN-0766</t>
  </si>
  <si>
    <t>TXN-0767</t>
  </si>
  <si>
    <t>TXN-0768</t>
  </si>
  <si>
    <t>TXN-0769</t>
  </si>
  <si>
    <t>TXN-0770</t>
  </si>
  <si>
    <t>TXN-0771</t>
  </si>
  <si>
    <t>TXN-0772</t>
  </si>
  <si>
    <t>Rp 1.620.061</t>
  </si>
  <si>
    <t>TXN-0773</t>
  </si>
  <si>
    <t>TXN-0774</t>
  </si>
  <si>
    <t>TXN-0775</t>
  </si>
  <si>
    <t>TXN-0776</t>
  </si>
  <si>
    <t>TXN-0777</t>
  </si>
  <si>
    <t>TXN-0778</t>
  </si>
  <si>
    <t>TXN-0779</t>
  </si>
  <si>
    <t>CUST-0192</t>
  </si>
  <si>
    <t>TXN-0780</t>
  </si>
  <si>
    <t>TXN-0781</t>
  </si>
  <si>
    <t>TXN-0782</t>
  </si>
  <si>
    <t>TXN-0783</t>
  </si>
  <si>
    <t>TXN-0784</t>
  </si>
  <si>
    <t>TXN-0785</t>
  </si>
  <si>
    <t>TXN-0786</t>
  </si>
  <si>
    <t>TXN-0787</t>
  </si>
  <si>
    <t>TXN-0788</t>
  </si>
  <si>
    <t>TXN-0789</t>
  </si>
  <si>
    <t>TXN-0790</t>
  </si>
  <si>
    <t>TXN-0791</t>
  </si>
  <si>
    <t>TXN-0792</t>
  </si>
  <si>
    <t>TXN-0793</t>
  </si>
  <si>
    <t>MAYA PRATAMA</t>
  </si>
  <si>
    <t>TXN-0794</t>
  </si>
  <si>
    <t>TXN-0795</t>
  </si>
  <si>
    <t>20/03/2026</t>
  </si>
  <si>
    <t>TXN-0796</t>
  </si>
  <si>
    <t>TXN-0797</t>
  </si>
  <si>
    <t>TXN-0798</t>
  </si>
  <si>
    <t>TXN-0799</t>
  </si>
  <si>
    <t>TXN-0800</t>
  </si>
  <si>
    <t>TXN-0801</t>
  </si>
  <si>
    <t>TXN-0802</t>
  </si>
  <si>
    <t>TXN-0803</t>
  </si>
  <si>
    <t>cust-0039</t>
  </si>
  <si>
    <t>TXN-0804</t>
  </si>
  <si>
    <t>TXN-0805</t>
  </si>
  <si>
    <t>TXN-0806</t>
  </si>
  <si>
    <t>TXN-0807</t>
  </si>
  <si>
    <t>TXN-0808</t>
  </si>
  <si>
    <t>TXN-0809</t>
  </si>
  <si>
    <t>TXN-0810</t>
  </si>
  <si>
    <t>TXN-0811</t>
  </si>
  <si>
    <t>TXN-0812</t>
  </si>
  <si>
    <t>TXN-0813</t>
  </si>
  <si>
    <t>Rp 1.961.408</t>
  </si>
  <si>
    <t>TXN-0814</t>
  </si>
  <si>
    <t>TXN-0815</t>
  </si>
  <si>
    <t>TXN-0816</t>
  </si>
  <si>
    <t>TXN-0817</t>
  </si>
  <si>
    <t>TXN-0818</t>
  </si>
  <si>
    <t>TXN-0819</t>
  </si>
  <si>
    <t>TXN-0820</t>
  </si>
  <si>
    <t>Data Dictionary</t>
  </si>
  <si>
    <t>Column definitions for the Customer Orders dataset.</t>
  </si>
  <si>
    <t>Column</t>
  </si>
  <si>
    <t>Meaning</t>
  </si>
  <si>
    <t>Example</t>
  </si>
  <si>
    <t>Unique transaction identifier</t>
  </si>
  <si>
    <t>Unique customer identifier</t>
  </si>
  <si>
    <t>Customer name</t>
  </si>
  <si>
    <t>Date when the order was placed</t>
  </si>
  <si>
    <t>2026-04-20</t>
  </si>
  <si>
    <t>Customer/order region</t>
  </si>
  <si>
    <t>Customer type or segment</t>
  </si>
  <si>
    <t>How the customer found the business</t>
  </si>
  <si>
    <t>Product category purchased</t>
  </si>
  <si>
    <t>Number of items in transaction</t>
  </si>
  <si>
    <t>4</t>
  </si>
  <si>
    <t>Gross order value</t>
  </si>
  <si>
    <t>750000</t>
  </si>
  <si>
    <t>Delivery fee paid</t>
  </si>
  <si>
    <t>25000</t>
  </si>
  <si>
    <t>Delivery/order outcome</t>
  </si>
  <si>
    <t>Customer satisfaction response</t>
  </si>
  <si>
    <t>Whether customer used promo</t>
  </si>
  <si>
    <t>Suggested Business Questions</t>
  </si>
  <si>
    <t>Use these questions to guide analysis and dashboard design.</t>
  </si>
  <si>
    <t>Question</t>
  </si>
  <si>
    <t>Suggested Analysis</t>
  </si>
  <si>
    <t>Which customer segment contributes the highest order value?</t>
  </si>
  <si>
    <t>Group order value by customer segment.</t>
  </si>
  <si>
    <t>Which acquisition channel brings the highest value customers?</t>
  </si>
  <si>
    <t>Compare revenue and average order value by acquisition channel.</t>
  </si>
  <si>
    <t>Which product category is most common among returning customers?</t>
  </si>
  <si>
    <t>Filter returning customers and count category purchases.</t>
  </si>
  <si>
    <t>How does delivery status relate to satisfaction?</t>
  </si>
  <si>
    <t>Compare satisfaction distribution by delivery status.</t>
  </si>
  <si>
    <t>Which region has the strongest customer value?</t>
  </si>
  <si>
    <t>Compare order value and transaction count by region.</t>
  </si>
  <si>
    <t>Which rows should be reviewed before analysis?</t>
  </si>
  <si>
    <t>Use the cleaning log and issue flags.</t>
  </si>
  <si>
    <t>Data Quality &amp; Preparation Log</t>
  </si>
  <si>
    <t>Use this sheet to document cleaning decisions in business language.</t>
  </si>
  <si>
    <t>Issue Area</t>
  </si>
  <si>
    <t>What Was Found</t>
  </si>
  <si>
    <t>Business Risk</t>
  </si>
  <si>
    <t>Action Taken</t>
  </si>
  <si>
    <t>Missing values</t>
  </si>
  <si>
    <t>Duplicate records</t>
  </si>
  <si>
    <t>Inconsistent categories</t>
  </si>
  <si>
    <t>Date formatting</t>
  </si>
  <si>
    <t>Numeric fields</t>
  </si>
  <si>
    <t>Outliers or unusual values</t>
  </si>
  <si>
    <t>Status Review</t>
  </si>
  <si>
    <t>Check Order Value</t>
  </si>
  <si>
    <t>Check Order Date</t>
  </si>
  <si>
    <t>Check Items Purchased</t>
  </si>
  <si>
    <t>Check Shipping Fee</t>
  </si>
  <si>
    <t>Check Items Purchased and Shipping Fee</t>
  </si>
  <si>
    <t>Check Satisfaction</t>
  </si>
  <si>
    <t>Check Items Purchased and Order Value</t>
  </si>
  <si>
    <t>Check Order Value and Shipping Fee</t>
  </si>
  <si>
    <t>Check Order Date and Order Value</t>
  </si>
  <si>
    <t>Check Order Date and Shipping Fee</t>
  </si>
  <si>
    <t>Check Shipping Fee and Satisfaction</t>
  </si>
  <si>
    <t>Row Labels</t>
  </si>
  <si>
    <t>Grand Total</t>
  </si>
  <si>
    <t>Sum of Order Value</t>
  </si>
  <si>
    <t>Count of Order Value</t>
  </si>
  <si>
    <t>Count of Items Purchased</t>
  </si>
  <si>
    <t>Answer</t>
  </si>
  <si>
    <t>Average of Order Value2</t>
  </si>
  <si>
    <t>Count of Customer ID</t>
  </si>
  <si>
    <t>Column Labels</t>
  </si>
  <si>
    <t>Done</t>
  </si>
  <si>
    <t>Sales Performance Dashboard</t>
  </si>
  <si>
    <t>Executive view based on clean sales rows only. Rows needing review are separated to protect dashboard accuracy.</t>
  </si>
  <si>
    <t>Total Revenue</t>
  </si>
  <si>
    <t>Clean Orders</t>
  </si>
  <si>
    <t>Average Order Value</t>
  </si>
  <si>
    <t>Rows To Review</t>
  </si>
  <si>
    <t>Profit from clean rows</t>
  </si>
  <si>
    <t>Rows used in dashboard</t>
  </si>
  <si>
    <t>Revenue per clean order</t>
  </si>
  <si>
    <t>Profit as % of revenue</t>
  </si>
  <si>
    <t>Item Purchased</t>
  </si>
  <si>
    <t>Data Need Review</t>
  </si>
  <si>
    <t>Sum of Items Purchased</t>
  </si>
  <si>
    <t xml:space="preserve">1. Bagaimana saya tahu data yang sudah dicleaning itu data yang sudah benar? Dan bagaimana cara mengeceknya? Soalnya beberapa kali data yang sudah saya cleaning itu ada yang berubah atau ternyata saya tidak menghapus duplicate data, akhirnya saya mengulang proses cleaning dari awal </t>
  </si>
  <si>
    <t>2. Apa ada acuan untuk menampilkan dashboard kak? Kan tiap orang pasti beda-beda dashboardnya, nah apa yang harus ditampilkan di dashboard agar datanya bisa dimengerti audience?</t>
  </si>
  <si>
    <t>Halo Kak Nur, saya punya beberapa pertanyaan tentang data, semoga Kak Nur berkenan untuk menjawab, terimakasih!! &lt;3</t>
  </si>
  <si>
    <t>Ada Order date, Order Value, Fee Shipping yang datanya kosong</t>
  </si>
  <si>
    <t>Jika ada value yang kosong, akan berpengaruh pada data yang lain</t>
  </si>
  <si>
    <t>Hubungi PIC divisi penjualan untuk mengcrosscheck data di value yg kosong tsb</t>
  </si>
  <si>
    <t>Transaction ID ada yang double</t>
  </si>
  <si>
    <t>Karena Duplicate records adalah unik, maka sangat mudah untuk menghapus datanya</t>
  </si>
  <si>
    <t>Menghapus duplicate data dan konfirmasi ke PIC</t>
  </si>
  <si>
    <t>Tidak ada yang incosistent categories</t>
  </si>
  <si>
    <t>Format tanggal yang berbeda</t>
  </si>
  <si>
    <t>Format data yang berbeda akan pengaruh ketika cleaning data</t>
  </si>
  <si>
    <t>Rubah semua format tanggal sesuai format tanggal di data dictionarry</t>
  </si>
  <si>
    <t>Order value dan fee shipping dengan format number</t>
  </si>
  <si>
    <t>Agar memudahkan dan bisa membaca angka, saya rubah dengan format comma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</si>
</sst>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yyyy\-mm\-dd"/>
    <numFmt numFmtId="165" formatCode="_-* #,##0_-;\-* #,##0_-;_-* &quot;-&quot;??_-;_-@_-"/>
    <numFmt numFmtId="166" formatCode="_-[$Rp-3809]* #,##0_-;\-[$Rp-3809]* #,##0_-;_-[$Rp-3809]* &quot;-&quot;??_-;_-@_-"/>
  </numFmts>
  <fonts count="9" x14ac:knownFonts="1">
    <font>
      <sz val="11"/>
      <color theme="1"/>
      <name val="Calibri"/>
      <family val="2"/>
      <scheme val="minor"/>
    </font>
    <font>
      <sz val="10"/>
      <color rgb="FF667085"/>
      <name val="Aptos"/>
      <family val="2"/>
    </font>
    <font>
      <b/>
      <sz val="10"/>
      <color rgb="FF0B2545"/>
      <name val="Aptos"/>
      <family val="2"/>
    </font>
    <font>
      <sz val="10"/>
      <color theme="1"/>
      <name val="Aptos"/>
      <family val="2"/>
    </font>
    <font>
      <sz val="11"/>
      <color theme="1"/>
      <name val="Calibri"/>
      <family val="2"/>
      <scheme val="minor"/>
    </font>
    <font>
      <b/>
      <sz val="28"/>
      <color theme="0"/>
      <name val="Calibri"/>
      <family val="2"/>
      <scheme val="minor"/>
    </font>
    <font>
      <sz val="10"/>
      <color rgb="FFD9E2EC"/>
      <name val="Aptos"/>
      <family val="2"/>
    </font>
    <font>
      <b/>
      <sz val="10"/>
      <color rgb="FFFFFFFF"/>
      <name val="Aptos"/>
      <family val="2"/>
    </font>
    <font>
      <b/>
      <sz val="24"/>
      <color rgb="FF0B2545"/>
      <name val="Aptos"/>
      <family val="2"/>
    </font>
  </fonts>
  <fills count="9">
    <fill>
      <patternFill patternType="none"/>
    </fill>
    <fill>
      <patternFill patternType="gray125"/>
    </fill>
    <fill>
      <patternFill patternType="solid">
        <fgColor rgb="FFE8F2FB"/>
      </patternFill>
    </fill>
    <fill>
      <patternFill patternType="solid">
        <fgColor theme="3" tint="-0.499984740745262"/>
        <bgColor indexed="64"/>
      </patternFill>
    </fill>
    <fill>
      <patternFill patternType="solid">
        <fgColor theme="0"/>
        <bgColor indexed="64"/>
      </patternFill>
    </fill>
    <fill>
      <patternFill patternType="solid">
        <fgColor rgb="FF0070C0"/>
        <bgColor indexed="64"/>
      </patternFill>
    </fill>
    <fill>
      <patternFill patternType="solid">
        <fgColor rgb="FFF5F8FC"/>
      </patternFill>
    </fill>
    <fill>
      <patternFill patternType="solid">
        <fgColor rgb="FFFF0000"/>
        <bgColor indexed="64"/>
      </patternFill>
    </fill>
    <fill>
      <patternFill patternType="solid">
        <fgColor rgb="FFFFFF00"/>
        <bgColor indexed="64"/>
      </patternFill>
    </fill>
  </fills>
  <borders count="13">
    <border>
      <left/>
      <right/>
      <top/>
      <bottom/>
      <diagonal/>
    </border>
    <border>
      <left/>
      <right/>
      <top/>
      <bottom style="thin">
        <color rgb="FFD9E2EC"/>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2">
    <xf numFmtId="0" fontId="0" fillId="0" borderId="0"/>
    <xf numFmtId="43" fontId="4" fillId="0" borderId="0" applyFont="0" applyFill="0" applyBorder="0" applyAlignment="0" applyProtection="0"/>
  </cellStyleXfs>
  <cellXfs count="57">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164" fontId="3" fillId="0" borderId="1" xfId="0" applyNumberFormat="1" applyFont="1" applyBorder="1" applyAlignment="1">
      <alignment vertical="center"/>
    </xf>
    <xf numFmtId="3" fontId="3" fillId="0" borderId="1" xfId="0" applyNumberFormat="1" applyFont="1" applyBorder="1" applyAlignment="1">
      <alignment vertical="center"/>
    </xf>
    <xf numFmtId="164"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166" fontId="0" fillId="0" borderId="0" xfId="1" applyNumberFormat="1" applyFont="1"/>
    <xf numFmtId="0" fontId="0" fillId="4" borderId="0" xfId="0" applyFill="1"/>
    <xf numFmtId="165" fontId="0" fillId="0" borderId="0" xfId="0" applyNumberFormat="1"/>
    <xf numFmtId="0" fontId="0" fillId="0" borderId="0" xfId="0" applyAlignment="1">
      <alignment horizontal="left" indent="1"/>
    </xf>
    <xf numFmtId="0" fontId="3" fillId="8" borderId="0" xfId="0" applyFont="1" applyFill="1" applyAlignment="1">
      <alignment vertical="center"/>
    </xf>
    <xf numFmtId="0" fontId="0" fillId="8" borderId="0" xfId="0" applyFill="1"/>
    <xf numFmtId="0" fontId="1" fillId="0" borderId="1" xfId="0" applyFont="1" applyBorder="1" applyAlignment="1">
      <alignment vertical="center" wrapText="1"/>
    </xf>
    <xf numFmtId="0" fontId="0" fillId="0" borderId="0" xfId="0"/>
    <xf numFmtId="0" fontId="2" fillId="0" borderId="1" xfId="0" applyFont="1" applyBorder="1" applyAlignment="1">
      <alignment vertical="center"/>
    </xf>
    <xf numFmtId="0" fontId="3" fillId="0" borderId="0" xfId="0" applyFont="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1" fontId="8" fillId="6" borderId="5" xfId="0" applyNumberFormat="1" applyFont="1" applyFill="1" applyBorder="1" applyAlignment="1">
      <alignment horizontal="center" vertical="center"/>
    </xf>
    <xf numFmtId="1" fontId="8" fillId="6" borderId="6" xfId="0" applyNumberFormat="1" applyFont="1" applyFill="1" applyBorder="1" applyAlignment="1">
      <alignment horizontal="center" vertical="center"/>
    </xf>
    <xf numFmtId="1" fontId="8" fillId="6" borderId="7" xfId="0" applyNumberFormat="1" applyFont="1" applyFill="1" applyBorder="1" applyAlignment="1">
      <alignment horizontal="center" vertical="center"/>
    </xf>
    <xf numFmtId="1" fontId="8" fillId="6" borderId="8" xfId="0" applyNumberFormat="1" applyFont="1" applyFill="1" applyBorder="1" applyAlignment="1">
      <alignment horizontal="center" vertical="center"/>
    </xf>
    <xf numFmtId="1" fontId="8" fillId="6" borderId="0" xfId="0" applyNumberFormat="1" applyFont="1" applyFill="1" applyBorder="1" applyAlignment="1">
      <alignment horizontal="center" vertical="center"/>
    </xf>
    <xf numFmtId="1" fontId="8" fillId="6" borderId="9" xfId="0" applyNumberFormat="1" applyFont="1" applyFill="1" applyBorder="1" applyAlignment="1">
      <alignment horizontal="center" vertical="center"/>
    </xf>
    <xf numFmtId="1" fontId="8" fillId="6" borderId="10" xfId="0" applyNumberFormat="1" applyFont="1" applyFill="1" applyBorder="1" applyAlignment="1">
      <alignment horizontal="center" vertical="center"/>
    </xf>
    <xf numFmtId="1" fontId="8" fillId="6" borderId="11" xfId="0" applyNumberFormat="1" applyFont="1" applyFill="1" applyBorder="1" applyAlignment="1">
      <alignment horizontal="center" vertical="center"/>
    </xf>
    <xf numFmtId="1" fontId="8" fillId="6" borderId="12"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6" borderId="6" xfId="0" applyNumberFormat="1" applyFont="1" applyFill="1" applyBorder="1" applyAlignment="1">
      <alignment horizontal="center" vertical="center"/>
    </xf>
    <xf numFmtId="3" fontId="8" fillId="6" borderId="7" xfId="0" applyNumberFormat="1" applyFont="1" applyFill="1" applyBorder="1" applyAlignment="1">
      <alignment horizontal="center" vertical="center"/>
    </xf>
    <xf numFmtId="3" fontId="8" fillId="6" borderId="8" xfId="0" applyNumberFormat="1" applyFont="1" applyFill="1" applyBorder="1" applyAlignment="1">
      <alignment horizontal="center" vertical="center"/>
    </xf>
    <xf numFmtId="3" fontId="8" fillId="6" borderId="0" xfId="0" applyNumberFormat="1" applyFont="1" applyFill="1" applyBorder="1" applyAlignment="1">
      <alignment horizontal="center" vertical="center"/>
    </xf>
    <xf numFmtId="3" fontId="8" fillId="6" borderId="9" xfId="0" applyNumberFormat="1" applyFont="1" applyFill="1" applyBorder="1" applyAlignment="1">
      <alignment horizontal="center" vertical="center"/>
    </xf>
    <xf numFmtId="3" fontId="8" fillId="6" borderId="10" xfId="0" applyNumberFormat="1" applyFont="1" applyFill="1" applyBorder="1" applyAlignment="1">
      <alignment horizontal="center" vertical="center"/>
    </xf>
    <xf numFmtId="3" fontId="8" fillId="6" borderId="11" xfId="0" applyNumberFormat="1" applyFont="1" applyFill="1" applyBorder="1" applyAlignment="1">
      <alignment horizontal="center" vertical="center"/>
    </xf>
    <xf numFmtId="3" fontId="8" fillId="6" borderId="12" xfId="0" applyNumberFormat="1"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cellXfs>
  <cellStyles count="2">
    <cellStyle name="Comma" xfId="1" builtinId="3"/>
    <cellStyle name="Normal" xfId="0" builtinId="0"/>
  </cellStyles>
  <dxfs count="21">
    <dxf>
      <font>
        <color rgb="FF9C0006"/>
      </font>
      <fill>
        <patternFill>
          <bgColor rgb="FFFFC7CE"/>
        </patternFill>
      </fill>
    </dxf>
    <dxf>
      <font>
        <color rgb="FF9C0006"/>
      </font>
      <fill>
        <patternFill>
          <bgColor rgb="FFFFC7CE"/>
        </patternFill>
      </fill>
    </dxf>
    <dxf>
      <numFmt numFmtId="165" formatCode="_-* #,##0_-;\-* #,##0_-;_-* &quot;-&quot;??_-;_-@_-"/>
    </dxf>
    <dxf>
      <numFmt numFmtId="165" formatCode="_-* #,##0_-;\-* #,##0_-;_-* &quot;-&quot;??_-;_-@_-"/>
    </dxf>
    <dxf>
      <numFmt numFmtId="165" formatCode="_-* #,##0_-;\-* #,##0_-;_-* &quot;-&quot;??_-;_-@_-"/>
    </dxf>
    <dxf>
      <numFmt numFmtId="0" formatCode="General"/>
    </dxf>
    <dxf>
      <numFmt numFmtId="0" formatCode="General"/>
    </dxf>
    <dxf>
      <numFmt numFmtId="0" formatCode="General"/>
    </dxf>
    <dxf>
      <numFmt numFmtId="166" formatCode="_-[$Rp-3809]* #,##0_-;\-[$Rp-3809]* #,##0_-;_-[$Rp-3809]* &quot;-&quot;??_-;_-@_-"/>
    </dxf>
    <dxf>
      <numFmt numFmtId="166" formatCode="_-[$Rp-3809]* #,##0_-;\-[$Rp-3809]* #,##0_-;_-[$Rp-3809]* &quot;-&quot;??_-;_-@_-"/>
    </dxf>
    <dxf>
      <numFmt numFmtId="0" formatCode="General"/>
    </dxf>
    <dxf>
      <numFmt numFmtId="0" formatCode="General"/>
    </dxf>
    <dxf>
      <numFmt numFmtId="0" formatCode="General"/>
    </dxf>
    <dxf>
      <numFmt numFmtId="0" formatCode="General"/>
    </dxf>
    <dxf>
      <numFmt numFmtId="164" formatCode="yyyy\-mm\-dd"/>
    </dxf>
    <dxf>
      <numFmt numFmtId="0" formatCode="General"/>
    </dxf>
    <dxf>
      <numFmt numFmtId="0" formatCode="General"/>
    </dxf>
    <dxf>
      <numFmt numFmtId="0" formatCode="General"/>
    </dxf>
    <dxf>
      <numFmt numFmtId="166" formatCode="_-[$Rp-3809]* #,##0_-;\-[$Rp-3809]* #,##0_-;_-[$Rp-3809]* &quot;-&quot;??_-;_-@_-"/>
    </dxf>
    <dxf>
      <numFmt numFmtId="166" formatCode="_-[$Rp-3809]* #,##0_-;\-[$Rp-3809]* #,##0_-;_-[$Rp-3809]* &quot;-&quot;??_-;_-@_-"/>
    </dxf>
    <dxf>
      <numFmt numFmtId="166" formatCode="_-[$Rp-3809]* #,##0_-;\-[$Rp-3809]* #,##0_-;_-[$Rp-3809]*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Dashboard'!$C$4</c:f>
              <c:strCache>
                <c:ptCount val="1"/>
                <c:pt idx="0">
                  <c:v>Total</c:v>
                </c:pt>
              </c:strCache>
            </c:strRef>
          </c:tx>
          <c:spPr>
            <a:solidFill>
              <a:schemeClr val="accent1"/>
            </a:solidFill>
            <a:ln>
              <a:noFill/>
            </a:ln>
            <a:effectLst/>
          </c:spPr>
          <c:invertIfNegative val="0"/>
          <c:cat>
            <c:strRef>
              <c:f>'Data Dashboard'!$B$5:$B$10</c:f>
              <c:strCache>
                <c:ptCount val="5"/>
                <c:pt idx="0">
                  <c:v>Accessories</c:v>
                </c:pt>
                <c:pt idx="1">
                  <c:v>Electronics</c:v>
                </c:pt>
                <c:pt idx="2">
                  <c:v>Furniture</c:v>
                </c:pt>
                <c:pt idx="3">
                  <c:v>Office Supplies</c:v>
                </c:pt>
                <c:pt idx="4">
                  <c:v>Stationery</c:v>
                </c:pt>
              </c:strCache>
            </c:strRef>
          </c:cat>
          <c:val>
            <c:numRef>
              <c:f>'Data Dashboard'!$C$5:$C$10</c:f>
              <c:numCache>
                <c:formatCode>_-* #,##0_-;\-* #,##0_-;_-* "-"??_-;_-@_-</c:formatCode>
                <c:ptCount val="5"/>
                <c:pt idx="0">
                  <c:v>210050493</c:v>
                </c:pt>
                <c:pt idx="1">
                  <c:v>208400345</c:v>
                </c:pt>
                <c:pt idx="2">
                  <c:v>227735950</c:v>
                </c:pt>
                <c:pt idx="3">
                  <c:v>175369006</c:v>
                </c:pt>
                <c:pt idx="4">
                  <c:v>216890276</c:v>
                </c:pt>
              </c:numCache>
            </c:numRef>
          </c:val>
          <c:extLst>
            <c:ext xmlns:c16="http://schemas.microsoft.com/office/drawing/2014/chart" uri="{C3380CC4-5D6E-409C-BE32-E72D297353CC}">
              <c16:uniqueId val="{00000000-68E1-4A22-85AF-AF3A96A589F5}"/>
            </c:ext>
          </c:extLst>
        </c:ser>
        <c:dLbls>
          <c:showLegendKey val="0"/>
          <c:showVal val="0"/>
          <c:showCatName val="0"/>
          <c:showSerName val="0"/>
          <c:showPercent val="0"/>
          <c:showBubbleSize val="0"/>
        </c:dLbls>
        <c:gapWidth val="150"/>
        <c:overlap val="100"/>
        <c:axId val="1516228864"/>
        <c:axId val="1537636560"/>
      </c:barChart>
      <c:catAx>
        <c:axId val="15162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636560"/>
        <c:crosses val="autoZero"/>
        <c:auto val="1"/>
        <c:lblAlgn val="ctr"/>
        <c:lblOffset val="100"/>
        <c:noMultiLvlLbl val="0"/>
      </c:catAx>
      <c:valAx>
        <c:axId val="153763656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2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Dashboard!PivotTable2</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Product</a:t>
            </a:r>
            <a:r>
              <a:rPr lang="en-ID" baseline="0"/>
              <a:t> Category Purchase by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 Dashboard'!$G$4:$G$5</c:f>
              <c:strCache>
                <c:ptCount val="1"/>
                <c:pt idx="0">
                  <c:v>Bandung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Dashboard'!$G$6:$G$11</c:f>
              <c:numCache>
                <c:formatCode>General</c:formatCode>
                <c:ptCount val="5"/>
                <c:pt idx="0">
                  <c:v>163</c:v>
                </c:pt>
                <c:pt idx="1">
                  <c:v>152</c:v>
                </c:pt>
                <c:pt idx="2">
                  <c:v>168</c:v>
                </c:pt>
                <c:pt idx="3">
                  <c:v>134</c:v>
                </c:pt>
                <c:pt idx="4">
                  <c:v>174</c:v>
                </c:pt>
              </c:numCache>
            </c:numRef>
          </c:val>
          <c:smooth val="0"/>
          <c:extLst>
            <c:ext xmlns:c16="http://schemas.microsoft.com/office/drawing/2014/chart" uri="{C3380CC4-5D6E-409C-BE32-E72D297353CC}">
              <c16:uniqueId val="{00000000-B7BB-47EB-9D85-C033E7B540DA}"/>
            </c:ext>
          </c:extLst>
        </c:ser>
        <c:ser>
          <c:idx val="1"/>
          <c:order val="1"/>
          <c:tx>
            <c:strRef>
              <c:f>'Data Dashboard'!$H$4:$H$5</c:f>
              <c:strCache>
                <c:ptCount val="1"/>
                <c:pt idx="0">
                  <c:v>Jakarta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Dashboard'!$H$6:$H$11</c:f>
              <c:numCache>
                <c:formatCode>General</c:formatCode>
                <c:ptCount val="5"/>
                <c:pt idx="0">
                  <c:v>134</c:v>
                </c:pt>
                <c:pt idx="1">
                  <c:v>112</c:v>
                </c:pt>
                <c:pt idx="2">
                  <c:v>117</c:v>
                </c:pt>
                <c:pt idx="3">
                  <c:v>115</c:v>
                </c:pt>
                <c:pt idx="4">
                  <c:v>122</c:v>
                </c:pt>
              </c:numCache>
            </c:numRef>
          </c:val>
          <c:smooth val="0"/>
          <c:extLst>
            <c:ext xmlns:c16="http://schemas.microsoft.com/office/drawing/2014/chart" uri="{C3380CC4-5D6E-409C-BE32-E72D297353CC}">
              <c16:uniqueId val="{00000006-B7BB-47EB-9D85-C033E7B540DA}"/>
            </c:ext>
          </c:extLst>
        </c:ser>
        <c:ser>
          <c:idx val="2"/>
          <c:order val="2"/>
          <c:tx>
            <c:strRef>
              <c:f>'Data Dashboard'!$I$4:$I$5</c:f>
              <c:strCache>
                <c:ptCount val="1"/>
                <c:pt idx="0">
                  <c:v>Makassar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Dashboard'!$I$6:$I$11</c:f>
              <c:numCache>
                <c:formatCode>General</c:formatCode>
                <c:ptCount val="5"/>
                <c:pt idx="0">
                  <c:v>96</c:v>
                </c:pt>
                <c:pt idx="1">
                  <c:v>146</c:v>
                </c:pt>
                <c:pt idx="2">
                  <c:v>124</c:v>
                </c:pt>
                <c:pt idx="3">
                  <c:v>81</c:v>
                </c:pt>
                <c:pt idx="4">
                  <c:v>132</c:v>
                </c:pt>
              </c:numCache>
            </c:numRef>
          </c:val>
          <c:smooth val="0"/>
          <c:extLst>
            <c:ext xmlns:c16="http://schemas.microsoft.com/office/drawing/2014/chart" uri="{C3380CC4-5D6E-409C-BE32-E72D297353CC}">
              <c16:uniqueId val="{00000007-B7BB-47EB-9D85-C033E7B540DA}"/>
            </c:ext>
          </c:extLst>
        </c:ser>
        <c:ser>
          <c:idx val="3"/>
          <c:order val="3"/>
          <c:tx>
            <c:strRef>
              <c:f>'Data Dashboard'!$J$4:$J$5</c:f>
              <c:strCache>
                <c:ptCount val="1"/>
                <c:pt idx="0">
                  <c:v>Medan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Dashboard'!$J$6:$J$11</c:f>
              <c:numCache>
                <c:formatCode>General</c:formatCode>
                <c:ptCount val="5"/>
                <c:pt idx="0">
                  <c:v>147</c:v>
                </c:pt>
                <c:pt idx="1">
                  <c:v>148</c:v>
                </c:pt>
                <c:pt idx="2">
                  <c:v>148</c:v>
                </c:pt>
                <c:pt idx="3">
                  <c:v>139</c:v>
                </c:pt>
                <c:pt idx="4">
                  <c:v>157</c:v>
                </c:pt>
              </c:numCache>
            </c:numRef>
          </c:val>
          <c:smooth val="0"/>
          <c:extLst>
            <c:ext xmlns:c16="http://schemas.microsoft.com/office/drawing/2014/chart" uri="{C3380CC4-5D6E-409C-BE32-E72D297353CC}">
              <c16:uniqueId val="{00000008-B7BB-47EB-9D85-C033E7B540DA}"/>
            </c:ext>
          </c:extLst>
        </c:ser>
        <c:ser>
          <c:idx val="4"/>
          <c:order val="4"/>
          <c:tx>
            <c:strRef>
              <c:f>'Data Dashboard'!$K$4:$K$5</c:f>
              <c:strCache>
                <c:ptCount val="1"/>
                <c:pt idx="0">
                  <c:v>Surabaya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Dashboard'!$F$6:$F$11</c:f>
              <c:strCache>
                <c:ptCount val="5"/>
                <c:pt idx="0">
                  <c:v>Accessories</c:v>
                </c:pt>
                <c:pt idx="1">
                  <c:v>Electronics</c:v>
                </c:pt>
                <c:pt idx="2">
                  <c:v>Furniture</c:v>
                </c:pt>
                <c:pt idx="3">
                  <c:v>Office Supplies</c:v>
                </c:pt>
                <c:pt idx="4">
                  <c:v>Stationery</c:v>
                </c:pt>
              </c:strCache>
            </c:strRef>
          </c:cat>
          <c:val>
            <c:numRef>
              <c:f>'Data Dashboard'!$K$6:$K$11</c:f>
              <c:numCache>
                <c:formatCode>General</c:formatCode>
                <c:ptCount val="5"/>
                <c:pt idx="0">
                  <c:v>152</c:v>
                </c:pt>
                <c:pt idx="1">
                  <c:v>115</c:v>
                </c:pt>
                <c:pt idx="2">
                  <c:v>134</c:v>
                </c:pt>
                <c:pt idx="3">
                  <c:v>94</c:v>
                </c:pt>
                <c:pt idx="4">
                  <c:v>125</c:v>
                </c:pt>
              </c:numCache>
            </c:numRef>
          </c:val>
          <c:smooth val="0"/>
          <c:extLst>
            <c:ext xmlns:c16="http://schemas.microsoft.com/office/drawing/2014/chart" uri="{C3380CC4-5D6E-409C-BE32-E72D297353CC}">
              <c16:uniqueId val="{00000009-B7BB-47EB-9D85-C033E7B540DA}"/>
            </c:ext>
          </c:extLst>
        </c:ser>
        <c:dLbls>
          <c:dLblPos val="t"/>
          <c:showLegendKey val="0"/>
          <c:showVal val="1"/>
          <c:showCatName val="0"/>
          <c:showSerName val="0"/>
          <c:showPercent val="0"/>
          <c:showBubbleSize val="0"/>
        </c:dLbls>
        <c:marker val="1"/>
        <c:smooth val="0"/>
        <c:axId val="53312639"/>
        <c:axId val="42943247"/>
      </c:lineChart>
      <c:catAx>
        <c:axId val="5331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3247"/>
        <c:crosses val="autoZero"/>
        <c:auto val="1"/>
        <c:lblAlgn val="ctr"/>
        <c:lblOffset val="100"/>
        <c:noMultiLvlLbl val="0"/>
      </c:catAx>
      <c:valAx>
        <c:axId val="4294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Dashboard!PivotTable4</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Segment by Acquistion Channel</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'Data Dashboard'!$C$14:$C$15</c:f>
              <c:strCache>
                <c:ptCount val="1"/>
                <c:pt idx="0">
                  <c:v>Event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Dashboard'!$C$16:$C$20</c:f>
              <c:numCache>
                <c:formatCode>_-* #,##0_-;\-* #,##0_-;_-* "-"??_-;_-@_-</c:formatCode>
                <c:ptCount val="4"/>
                <c:pt idx="0">
                  <c:v>45</c:v>
                </c:pt>
                <c:pt idx="1">
                  <c:v>29</c:v>
                </c:pt>
                <c:pt idx="2">
                  <c:v>33</c:v>
                </c:pt>
                <c:pt idx="3">
                  <c:v>44</c:v>
                </c:pt>
              </c:numCache>
            </c:numRef>
          </c:val>
          <c:extLst>
            <c:ext xmlns:c16="http://schemas.microsoft.com/office/drawing/2014/chart" uri="{C3380CC4-5D6E-409C-BE32-E72D297353CC}">
              <c16:uniqueId val="{00000008-6E45-484C-8C57-43D2A8FC2B29}"/>
            </c:ext>
          </c:extLst>
        </c:ser>
        <c:ser>
          <c:idx val="1"/>
          <c:order val="1"/>
          <c:tx>
            <c:strRef>
              <c:f>'Data Dashboard'!$D$14:$D$15</c:f>
              <c:strCache>
                <c:ptCount val="1"/>
                <c:pt idx="0">
                  <c:v>Instagram</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Dashboard'!$D$16:$D$20</c:f>
              <c:numCache>
                <c:formatCode>_-* #,##0_-;\-* #,##0_-;_-* "-"??_-;_-@_-</c:formatCode>
                <c:ptCount val="4"/>
                <c:pt idx="0">
                  <c:v>36</c:v>
                </c:pt>
                <c:pt idx="1">
                  <c:v>34</c:v>
                </c:pt>
                <c:pt idx="2">
                  <c:v>34</c:v>
                </c:pt>
                <c:pt idx="3">
                  <c:v>23</c:v>
                </c:pt>
              </c:numCache>
            </c:numRef>
          </c:val>
          <c:extLst>
            <c:ext xmlns:c16="http://schemas.microsoft.com/office/drawing/2014/chart" uri="{C3380CC4-5D6E-409C-BE32-E72D297353CC}">
              <c16:uniqueId val="{00000011-6E45-484C-8C57-43D2A8FC2B29}"/>
            </c:ext>
          </c:extLst>
        </c:ser>
        <c:ser>
          <c:idx val="2"/>
          <c:order val="2"/>
          <c:tx>
            <c:strRef>
              <c:f>'Data Dashboard'!$E$14:$E$15</c:f>
              <c:strCache>
                <c:ptCount val="1"/>
                <c:pt idx="0">
                  <c:v>Marketplace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Dashboard'!$E$16:$E$20</c:f>
              <c:numCache>
                <c:formatCode>_-* #,##0_-;\-* #,##0_-;_-* "-"??_-;_-@_-</c:formatCode>
                <c:ptCount val="4"/>
                <c:pt idx="0">
                  <c:v>31</c:v>
                </c:pt>
                <c:pt idx="1">
                  <c:v>44</c:v>
                </c:pt>
                <c:pt idx="2">
                  <c:v>34</c:v>
                </c:pt>
                <c:pt idx="3">
                  <c:v>29</c:v>
                </c:pt>
              </c:numCache>
            </c:numRef>
          </c:val>
          <c:extLst>
            <c:ext xmlns:c16="http://schemas.microsoft.com/office/drawing/2014/chart" uri="{C3380CC4-5D6E-409C-BE32-E72D297353CC}">
              <c16:uniqueId val="{0000001A-6E45-484C-8C57-43D2A8FC2B29}"/>
            </c:ext>
          </c:extLst>
        </c:ser>
        <c:ser>
          <c:idx val="3"/>
          <c:order val="3"/>
          <c:tx>
            <c:strRef>
              <c:f>'Data Dashboard'!$F$14:$F$15</c:f>
              <c:strCache>
                <c:ptCount val="1"/>
                <c:pt idx="0">
                  <c:v>Organic Search</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Dashboard'!$F$16:$F$20</c:f>
              <c:numCache>
                <c:formatCode>_-* #,##0_-;\-* #,##0_-;_-* "-"??_-;_-@_-</c:formatCode>
                <c:ptCount val="4"/>
                <c:pt idx="0">
                  <c:v>42</c:v>
                </c:pt>
                <c:pt idx="1">
                  <c:v>34</c:v>
                </c:pt>
                <c:pt idx="2">
                  <c:v>25</c:v>
                </c:pt>
                <c:pt idx="3">
                  <c:v>22</c:v>
                </c:pt>
              </c:numCache>
            </c:numRef>
          </c:val>
          <c:extLst>
            <c:ext xmlns:c16="http://schemas.microsoft.com/office/drawing/2014/chart" uri="{C3380CC4-5D6E-409C-BE32-E72D297353CC}">
              <c16:uniqueId val="{00000023-6E45-484C-8C57-43D2A8FC2B29}"/>
            </c:ext>
          </c:extLst>
        </c:ser>
        <c:ser>
          <c:idx val="4"/>
          <c:order val="4"/>
          <c:tx>
            <c:strRef>
              <c:f>'Data Dashboard'!$G$14:$G$15</c:f>
              <c:strCache>
                <c:ptCount val="1"/>
                <c:pt idx="0">
                  <c:v>Referral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Dashboard'!$G$16:$G$20</c:f>
              <c:numCache>
                <c:formatCode>_-* #,##0_-;\-* #,##0_-;_-* "-"??_-;_-@_-</c:formatCode>
                <c:ptCount val="4"/>
                <c:pt idx="0">
                  <c:v>29</c:v>
                </c:pt>
                <c:pt idx="1">
                  <c:v>31</c:v>
                </c:pt>
                <c:pt idx="2">
                  <c:v>36</c:v>
                </c:pt>
                <c:pt idx="3">
                  <c:v>45</c:v>
                </c:pt>
              </c:numCache>
            </c:numRef>
          </c:val>
          <c:extLst>
            <c:ext xmlns:c16="http://schemas.microsoft.com/office/drawing/2014/chart" uri="{C3380CC4-5D6E-409C-BE32-E72D297353CC}">
              <c16:uniqueId val="{0000002C-6E45-484C-8C57-43D2A8FC2B29}"/>
            </c:ext>
          </c:extLst>
        </c:ser>
        <c:ser>
          <c:idx val="5"/>
          <c:order val="5"/>
          <c:tx>
            <c:strRef>
              <c:f>'Data Dashboard'!$H$14:$H$15</c:f>
              <c:strCache>
                <c:ptCount val="1"/>
                <c:pt idx="0">
                  <c:v>Website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6E45-484C-8C57-43D2A8FC2B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6E45-484C-8C57-43D2A8FC2B2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2-6E45-484C-8C57-43D2A8FC2B2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4-6E45-484C-8C57-43D2A8FC2B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Dashboard'!$B$16:$B$20</c:f>
              <c:strCache>
                <c:ptCount val="4"/>
                <c:pt idx="0">
                  <c:v>Corporate</c:v>
                </c:pt>
                <c:pt idx="1">
                  <c:v>New Customer</c:v>
                </c:pt>
                <c:pt idx="2">
                  <c:v>Returning Customer</c:v>
                </c:pt>
                <c:pt idx="3">
                  <c:v>VIP</c:v>
                </c:pt>
              </c:strCache>
            </c:strRef>
          </c:cat>
          <c:val>
            <c:numRef>
              <c:f>'Data Dashboard'!$H$16:$H$20</c:f>
              <c:numCache>
                <c:formatCode>_-* #,##0_-;\-* #,##0_-;_-* "-"??_-;_-@_-</c:formatCode>
                <c:ptCount val="4"/>
                <c:pt idx="0">
                  <c:v>32</c:v>
                </c:pt>
                <c:pt idx="1">
                  <c:v>35</c:v>
                </c:pt>
                <c:pt idx="2">
                  <c:v>27</c:v>
                </c:pt>
                <c:pt idx="3">
                  <c:v>34</c:v>
                </c:pt>
              </c:numCache>
            </c:numRef>
          </c:val>
          <c:extLst>
            <c:ext xmlns:c16="http://schemas.microsoft.com/office/drawing/2014/chart" uri="{C3380CC4-5D6E-409C-BE32-E72D297353CC}">
              <c16:uniqueId val="{00000035-6E45-484C-8C57-43D2A8FC2B2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[dataset-2-customer-orders RERE.xlsx]Data Dashboard!PivotTable5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Segment</a:t>
            </a:r>
            <a:r>
              <a:rPr lang="en-ID" baseline="0"/>
              <a:t> by Acquistion Channel</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Dashboard'!$C$23</c:f>
              <c:strCache>
                <c:ptCount val="1"/>
                <c:pt idx="0">
                  <c:v>Total</c:v>
                </c:pt>
              </c:strCache>
            </c:strRef>
          </c:tx>
          <c:spPr>
            <a:solidFill>
              <a:schemeClr val="accent1"/>
            </a:solidFill>
            <a:ln>
              <a:noFill/>
            </a:ln>
            <a:effectLst/>
          </c:spPr>
          <c:invertIfNegative val="0"/>
          <c:cat>
            <c:multiLvlStrRef>
              <c:f>'Data Dashboard'!$B$24:$B$52</c:f>
              <c:multiLvlStrCache>
                <c:ptCount val="24"/>
                <c:lvl>
                  <c:pt idx="0">
                    <c:v>Event</c:v>
                  </c:pt>
                  <c:pt idx="1">
                    <c:v>Instagram</c:v>
                  </c:pt>
                  <c:pt idx="2">
                    <c:v>Marketplace</c:v>
                  </c:pt>
                  <c:pt idx="3">
                    <c:v>Organic Search</c:v>
                  </c:pt>
                  <c:pt idx="4">
                    <c:v>Referral</c:v>
                  </c:pt>
                  <c:pt idx="5">
                    <c:v>Website</c:v>
                  </c:pt>
                  <c:pt idx="6">
                    <c:v>Event</c:v>
                  </c:pt>
                  <c:pt idx="7">
                    <c:v>Instagram</c:v>
                  </c:pt>
                  <c:pt idx="8">
                    <c:v>Marketplace</c:v>
                  </c:pt>
                  <c:pt idx="9">
                    <c:v>Organic Search</c:v>
                  </c:pt>
                  <c:pt idx="10">
                    <c:v>Referral</c:v>
                  </c:pt>
                  <c:pt idx="11">
                    <c:v>Website</c:v>
                  </c:pt>
                  <c:pt idx="12">
                    <c:v>Event</c:v>
                  </c:pt>
                  <c:pt idx="13">
                    <c:v>Instagram</c:v>
                  </c:pt>
                  <c:pt idx="14">
                    <c:v>Marketplace</c:v>
                  </c:pt>
                  <c:pt idx="15">
                    <c:v>Organic Search</c:v>
                  </c:pt>
                  <c:pt idx="16">
                    <c:v>Referral</c:v>
                  </c:pt>
                  <c:pt idx="17">
                    <c:v>Website</c:v>
                  </c:pt>
                  <c:pt idx="18">
                    <c:v>Event</c:v>
                  </c:pt>
                  <c:pt idx="19">
                    <c:v>Instagram</c:v>
                  </c:pt>
                  <c:pt idx="20">
                    <c:v>Marketplace</c:v>
                  </c:pt>
                  <c:pt idx="21">
                    <c:v>Organic Search</c:v>
                  </c:pt>
                  <c:pt idx="22">
                    <c:v>Referral</c:v>
                  </c:pt>
                  <c:pt idx="23">
                    <c:v>Website</c:v>
                  </c:pt>
                </c:lvl>
                <c:lvl>
                  <c:pt idx="0">
                    <c:v>Corporate</c:v>
                  </c:pt>
                  <c:pt idx="6">
                    <c:v>New Customer</c:v>
                  </c:pt>
                  <c:pt idx="12">
                    <c:v>Returning Customer</c:v>
                  </c:pt>
                  <c:pt idx="18">
                    <c:v>VIP</c:v>
                  </c:pt>
                </c:lvl>
              </c:multiLvlStrCache>
            </c:multiLvlStrRef>
          </c:cat>
          <c:val>
            <c:numRef>
              <c:f>'Data Dashboard'!$C$24:$C$52</c:f>
              <c:numCache>
                <c:formatCode>_-* #,##0_-;\-* #,##0_-;_-* "-"??_-;_-@_-</c:formatCode>
                <c:ptCount val="24"/>
                <c:pt idx="0">
                  <c:v>58847598</c:v>
                </c:pt>
                <c:pt idx="1">
                  <c:v>42234652</c:v>
                </c:pt>
                <c:pt idx="2">
                  <c:v>39660999</c:v>
                </c:pt>
                <c:pt idx="3">
                  <c:v>56830185</c:v>
                </c:pt>
                <c:pt idx="4">
                  <c:v>45818281</c:v>
                </c:pt>
                <c:pt idx="5">
                  <c:v>42171905</c:v>
                </c:pt>
                <c:pt idx="6">
                  <c:v>36156011</c:v>
                </c:pt>
                <c:pt idx="7">
                  <c:v>40523095</c:v>
                </c:pt>
                <c:pt idx="8">
                  <c:v>55450480</c:v>
                </c:pt>
                <c:pt idx="9">
                  <c:v>46173740</c:v>
                </c:pt>
                <c:pt idx="10">
                  <c:v>40455406</c:v>
                </c:pt>
                <c:pt idx="11">
                  <c:v>46119713</c:v>
                </c:pt>
                <c:pt idx="12">
                  <c:v>39870168</c:v>
                </c:pt>
                <c:pt idx="13">
                  <c:v>42397555</c:v>
                </c:pt>
                <c:pt idx="14">
                  <c:v>43878466</c:v>
                </c:pt>
                <c:pt idx="15">
                  <c:v>32744550</c:v>
                </c:pt>
                <c:pt idx="16">
                  <c:v>43455989</c:v>
                </c:pt>
                <c:pt idx="17">
                  <c:v>29111048</c:v>
                </c:pt>
                <c:pt idx="18">
                  <c:v>54066134</c:v>
                </c:pt>
                <c:pt idx="19">
                  <c:v>31910019</c:v>
                </c:pt>
                <c:pt idx="20">
                  <c:v>39532642</c:v>
                </c:pt>
                <c:pt idx="21">
                  <c:v>27870210</c:v>
                </c:pt>
                <c:pt idx="22">
                  <c:v>56735523</c:v>
                </c:pt>
                <c:pt idx="23">
                  <c:v>46431701</c:v>
                </c:pt>
              </c:numCache>
            </c:numRef>
          </c:val>
          <c:extLst>
            <c:ext xmlns:c16="http://schemas.microsoft.com/office/drawing/2014/chart" uri="{C3380CC4-5D6E-409C-BE32-E72D297353CC}">
              <c16:uniqueId val="{00000000-44FF-452A-A874-D44407E6940F}"/>
            </c:ext>
          </c:extLst>
        </c:ser>
        <c:dLbls>
          <c:showLegendKey val="0"/>
          <c:showVal val="0"/>
          <c:showCatName val="0"/>
          <c:showSerName val="0"/>
          <c:showPercent val="0"/>
          <c:showBubbleSize val="0"/>
        </c:dLbls>
        <c:gapWidth val="150"/>
        <c:axId val="63092927"/>
        <c:axId val="42941327"/>
      </c:barChart>
      <c:catAx>
        <c:axId val="63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41327"/>
        <c:crosses val="autoZero"/>
        <c:auto val="1"/>
        <c:lblAlgn val="ctr"/>
        <c:lblOffset val="100"/>
        <c:noMultiLvlLbl val="0"/>
      </c:catAx>
      <c:valAx>
        <c:axId val="429413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23812</xdr:colOff>
      <xdr:row>9</xdr:row>
      <xdr:rowOff>71437</xdr:rowOff>
    </xdr:from>
    <xdr:to>
      <xdr:col>8</xdr:col>
      <xdr:colOff>392905</xdr:colOff>
      <xdr:row>22</xdr:row>
      <xdr:rowOff>130967</xdr:rowOff>
    </xdr:to>
    <xdr:graphicFrame macro="">
      <xdr:nvGraphicFramePr>
        <xdr:cNvPr id="6" name="Chart 5">
          <a:extLst>
            <a:ext uri="{FF2B5EF4-FFF2-40B4-BE49-F238E27FC236}">
              <a16:creationId xmlns:a16="http://schemas.microsoft.com/office/drawing/2014/main" id="{D9D2F8A4-1F3F-499F-A9BB-263A66031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408215</xdr:colOff>
      <xdr:row>9</xdr:row>
      <xdr:rowOff>54428</xdr:rowOff>
    </xdr:from>
    <xdr:to>
      <xdr:col>15</xdr:col>
      <xdr:colOff>1714500</xdr:colOff>
      <xdr:row>22</xdr:row>
      <xdr:rowOff>136071</xdr:rowOff>
    </xdr:to>
    <xdr:graphicFrame macro="">
      <xdr:nvGraphicFramePr>
        <xdr:cNvPr id="7" name="Chart 6">
          <a:extLst>
            <a:ext uri="{FF2B5EF4-FFF2-40B4-BE49-F238E27FC236}">
              <a16:creationId xmlns:a16="http://schemas.microsoft.com/office/drawing/2014/main" id="{280A51AC-3A28-4644-B3FB-631D5BF3E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22</xdr:row>
      <xdr:rowOff>167329</xdr:rowOff>
    </xdr:from>
    <xdr:to>
      <xdr:col>8</xdr:col>
      <xdr:colOff>415192</xdr:colOff>
      <xdr:row>37</xdr:row>
      <xdr:rowOff>77230</xdr:rowOff>
    </xdr:to>
    <xdr:graphicFrame macro="">
      <xdr:nvGraphicFramePr>
        <xdr:cNvPr id="8" name="Chart 7">
          <a:extLst>
            <a:ext uri="{FF2B5EF4-FFF2-40B4-BE49-F238E27FC236}">
              <a16:creationId xmlns:a16="http://schemas.microsoft.com/office/drawing/2014/main" id="{592937F7-E9B6-40FD-A769-DC575946F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468179</xdr:colOff>
      <xdr:row>22</xdr:row>
      <xdr:rowOff>242160</xdr:rowOff>
    </xdr:from>
    <xdr:to>
      <xdr:col>16</xdr:col>
      <xdr:colOff>1</xdr:colOff>
      <xdr:row>37</xdr:row>
      <xdr:rowOff>226017</xdr:rowOff>
    </xdr:to>
    <xdr:graphicFrame macro="">
      <xdr:nvGraphicFramePr>
        <xdr:cNvPr id="9" name="Chart 8">
          <a:extLst>
            <a:ext uri="{FF2B5EF4-FFF2-40B4-BE49-F238E27FC236}">
              <a16:creationId xmlns:a16="http://schemas.microsoft.com/office/drawing/2014/main" id="{9454962C-AFED-44D8-AF5B-E7B24E8EB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16</xdr:col>
      <xdr:colOff>9525</xdr:colOff>
      <xdr:row>38</xdr:row>
      <xdr:rowOff>9525</xdr:rowOff>
    </xdr:to>
    <xdr:pic>
      <xdr:nvPicPr>
        <xdr:cNvPr id="17" name="Picture 16">
          <a:extLst>
            <a:ext uri="{FF2B5EF4-FFF2-40B4-BE49-F238E27FC236}">
              <a16:creationId xmlns:a16="http://schemas.microsoft.com/office/drawing/2014/main" id="{D2704B67-2CEF-D1B7-8E46-A643692AA5D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247650"/>
          <a:ext cx="13220700" cy="917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9.558794097225" createdVersion="8" refreshedVersion="8" minRefreshableVersion="3" recordCount="820" xr:uid="{10C7E6C2-973D-4C54-8602-92F0BC24B6A8}">
  <cacheSource type="worksheet">
    <worksheetSource name="DATA"/>
  </cacheSource>
  <cacheFields count="17">
    <cacheField name="Transaction ID" numFmtId="0">
      <sharedItems/>
    </cacheField>
    <cacheField name="Customer ID" numFmtId="0">
      <sharedItems count="232">
        <s v="CUST-0238"/>
        <s v="CUST-0033"/>
        <s v="CUST-0155"/>
        <s v="CUST-0072"/>
        <s v="CUST-0012"/>
        <s v="CUST-0143"/>
        <s v="CUST-0181"/>
        <s v="CUST-0221"/>
        <s v="CUST-0202"/>
        <s v="CUST-0120"/>
        <s v="CUST-0139"/>
        <s v="CUST-0071"/>
        <s v="CUST-0116"/>
        <s v="CUST-0122"/>
        <s v="CUST-0106"/>
        <s v="CUST-0230"/>
        <s v="CUST-0043"/>
        <s v="CUST-0082"/>
        <s v="CUST-0115"/>
        <s v="CUST-0002"/>
        <s v="CUST-0177"/>
        <s v="CUST-0092"/>
        <s v="CUST-0138"/>
        <s v="CUST-0038"/>
        <s v="CUST-0187"/>
        <s v="CUST-0037"/>
        <s v="CUST-0164"/>
        <s v="CUST-0142"/>
        <s v="CUST-0068"/>
        <s v="CUST-0031"/>
        <s v="CUST-0096"/>
        <s v="CUST-0070"/>
        <s v="CUST-0154"/>
        <s v="CUST-0137"/>
        <s v="CUST-0056"/>
        <s v="CUST-0030"/>
        <s v="CUST-0191"/>
        <s v="CUST-0109"/>
        <s v="CUST-0121"/>
        <s v="CUST-0048"/>
        <s v="CUST-0130"/>
        <s v="CUST-0186"/>
        <s v="CUST-0214"/>
        <s v="CUST-0127"/>
        <s v="CUST-0176"/>
        <s v="CUST-0004"/>
        <s v="CUST-0178"/>
        <s v="CUST-0125"/>
        <s v="CUST-0026"/>
        <s v="CUST-0195"/>
        <s v="CUST-0208"/>
        <s v="CUST-0114"/>
        <s v="CUST-0080"/>
        <s v="CUST-0152"/>
        <s v="CUST-0151"/>
        <s v="CUST-0128"/>
        <s v="CUST-0074"/>
        <s v="CUST-0018"/>
        <s v="CUST-0052"/>
        <s v="CUST-0148"/>
        <s v="CUST-0094"/>
        <s v="CUST-0217"/>
        <s v="CUST-0050"/>
        <s v="CUST-0035"/>
        <s v="CUST-0081"/>
        <s v="CUST-0134"/>
        <s v="CUST-0240"/>
        <s v="cust-0126"/>
        <s v="CUST-0184"/>
        <s v="CUST-0077"/>
        <s v="CUST-0117"/>
        <s v="CUST-0224"/>
        <s v="CUST-0047"/>
        <s v="CUST-0098"/>
        <s v="CUST-0008"/>
        <s v="CUST-0014"/>
        <s v="CUST-0078"/>
        <s v="CUST-0023"/>
        <s v="CUST-0073"/>
        <s v="CUST-0049"/>
        <s v="CUST-0223"/>
        <s v="CUST-0107"/>
        <s v="CUST-0215"/>
        <s v="CUST-0085"/>
        <s v="CUST-0205"/>
        <s v="CUST-0219"/>
        <s v="CUST-0189"/>
        <s v="CUST-0069"/>
        <s v="CUST-0011"/>
        <s v="CUST-0075"/>
        <s v="CUST-0076"/>
        <s v="CUST-0170"/>
        <s v="CUST-0088"/>
        <s v="CUST-0102"/>
        <s v="CUST-0054"/>
        <s v="CUST-0010"/>
        <s v="CUST-0045"/>
        <s v="CUST-0201"/>
        <s v="CUST-0162"/>
        <s v="CUST-0166"/>
        <s v="CUST-0036"/>
        <s v="CUST-0022"/>
        <s v="CUST-0108"/>
        <s v="CUST-0180"/>
        <s v="CUST-0226"/>
        <s v="CUST-0216"/>
        <s v="CUST-0171"/>
        <s v="CUST-0174"/>
        <s v="CUST-0203"/>
        <s v="CUST-0032"/>
        <s v="CUST-0222"/>
        <s v="CUST-0146"/>
        <s v="CUST-0213"/>
        <s v="CUST-0112"/>
        <s v="CUST-0064"/>
        <s v="CUST-0016"/>
        <s v="CUST-0227"/>
        <s v="CUST-0005"/>
        <s v="CUST-0100"/>
        <s v="CUST-0175"/>
        <s v="CUST-0169"/>
        <s v="CUST-0111"/>
        <s v="CUST-0020"/>
        <s v="CUST-0019"/>
        <s v="CUST-0204"/>
        <s v="CUST-0027"/>
        <s v="CUST-0015"/>
        <s v="CUST-0124"/>
        <s v="CUST-0062"/>
        <s v="CUST-0046"/>
        <s v="CUST-0066"/>
        <s v="CUST-0132"/>
        <s v="CUST-0185"/>
        <s v="CUST-0044"/>
        <s v="CUST-0060"/>
        <s v="CUST-0029"/>
        <s v="CUST-0210"/>
        <s v="CUST-0095"/>
        <s v="CUST-0119"/>
        <s v="CUST-0057"/>
        <s v="CUST-0183"/>
        <s v="CUST-0218"/>
        <s v="cust-0063"/>
        <s v="CUST-0110"/>
        <s v="CUST-0105"/>
        <s v="CUST-0179"/>
        <s v="CUST-0193"/>
        <s v="CUST-0239"/>
        <s v="CUST-0097"/>
        <s v="CUST-0001"/>
        <s v="CUST-0103"/>
        <s v="CUST-0156"/>
        <s v="CUST-0042"/>
        <s v="CUST-0207"/>
        <s v="CUST-0198"/>
        <s v="CUST-0129"/>
        <s v="CUST-0209"/>
        <s v="CUST-0136"/>
        <s v="CUST-0168"/>
        <s v="CUST-0093"/>
        <s v="CUST-0084"/>
        <s v="CUST-0061"/>
        <s v="CUST-0003"/>
        <s v="CUST-0234"/>
        <s v="CUST-0173"/>
        <s v="CUST-0091"/>
        <s v="CUST-0040"/>
        <s v="CUST-0113"/>
        <s v="CUST-0153"/>
        <s v="CUST-0024"/>
        <s v="CUST-0147"/>
        <s v="CUST-0165"/>
        <s v="CUST-0006"/>
        <s v="CUST-0059"/>
        <s v="CUST-0058"/>
        <s v="CUST-0235"/>
        <s v="CUST-0135"/>
        <s v="CUST-0236"/>
        <s v="CUST-0021"/>
        <s v="CUST-0182"/>
        <s v="CUST-0206"/>
        <s v="CUST-0190"/>
        <s v="CUST-0172"/>
        <s v="CUST-0083"/>
        <s v="CUST-0158"/>
        <s v="CUST-0104"/>
        <s v="CUST-0232"/>
        <s v="CUST-0041"/>
        <s v="CUST-0231"/>
        <s v="CUST-0051"/>
        <s v="CUST-0101"/>
        <s v="CUST-0212"/>
        <s v="CUST-0197"/>
        <s v="CUST-0055"/>
        <s v="CUST-0200"/>
        <s v="CUST-0225"/>
        <s v="CUST-0017"/>
        <s v="CUST-0188"/>
        <s v="CUST-0145"/>
        <s v="CUST-0090"/>
        <s v="CUST-0034"/>
        <s v="CUST-0237"/>
        <s v="CUST-0087"/>
        <s v="CUST-0123"/>
        <s v="CUST-0053"/>
        <s v="CUST-0028"/>
        <s v="CUST-0194"/>
        <s v="CUST-0133"/>
        <s v="CUST-0199"/>
        <s v="CUST-0067"/>
        <s v="CUST-0163"/>
        <s v="CUST-0025"/>
        <s v="CUST-0167"/>
        <s v="CUST-0161"/>
        <s v="CUST-0157"/>
        <s v="CUST-0089"/>
        <s v="CUST-0065"/>
        <s v="CUST-0160"/>
        <s v="CUST-0141"/>
        <s v="CUST-0196"/>
        <s v="CUST-0118"/>
        <s v="CUST-0220"/>
        <s v="CUST-0228"/>
        <s v="CUST-0144"/>
        <s v="CUST-0086"/>
        <s v="CUST-0013"/>
        <s v="CUST-0079"/>
        <s v="CUST-0233"/>
        <s v="CUST-0007"/>
        <s v="CUST-0211"/>
        <s v="CUST-0192"/>
        <s v="cust-0039"/>
      </sharedItems>
    </cacheField>
    <cacheField name="Customer Name" numFmtId="0">
      <sharedItems/>
    </cacheField>
    <cacheField name="Order Date" numFmtId="164">
      <sharedItems containsNonDate="0" containsDate="1" containsString="0" containsBlank="1" minDate="2026-01-01T00:00:00" maxDate="2026-12-07T00:00:00" count="182">
        <d v="2026-06-06T00:00:00"/>
        <d v="2026-01-09T00:00:00"/>
        <d v="2026-02-10T00:00:00"/>
        <d v="2026-01-04T00:00:00"/>
        <d v="2026-01-11T00:00:00"/>
        <d v="2026-04-28T00:00:00"/>
        <d v="2026-06-10T00:00:00"/>
        <d v="2026-06-25T00:00:00"/>
        <d v="2026-06-08T00:00:00"/>
        <d v="2026-01-30T00:00:00"/>
        <d v="2026-01-14T00:00:00"/>
        <d v="2026-01-29T00:00:00"/>
        <d v="2026-03-30T00:00:00"/>
        <d v="2026-05-29T00:00:00"/>
        <d v="2026-03-20T00:00:00"/>
        <d v="2026-05-28T00:00:00"/>
        <d v="2026-05-19T00:00:00"/>
        <d v="2026-05-20T00:00:00"/>
        <d v="2026-01-24T00:00:00"/>
        <d v="2026-04-25T00:00:00"/>
        <d v="2026-04-20T00:00:00"/>
        <d v="2026-04-24T00:00:00"/>
        <d v="2026-02-23T00:00:00"/>
        <d v="2026-03-11T00:00:00"/>
        <d v="2026-05-06T00:00:00"/>
        <d v="2026-03-18T00:00:00"/>
        <d v="2026-03-12T00:00:00"/>
        <d v="2026-05-12T00:00:00"/>
        <d v="2026-04-03T00:00:00"/>
        <d v="2026-02-12T00:00:00"/>
        <d v="2026-02-09T00:00:00"/>
        <d v="2026-02-03T00:00:00"/>
        <d v="2026-01-31T00:00:00"/>
        <d v="2026-06-26T00:00:00"/>
        <d v="2026-06-21T00:00:00"/>
        <d v="2026-05-26T00:00:00"/>
        <m/>
        <d v="2026-04-01T00:00:00"/>
        <d v="2026-06-22T00:00:00"/>
        <d v="2026-06-01T00:00:00"/>
        <d v="2026-05-08T00:00:00"/>
        <d v="2026-05-11T00:00:00"/>
        <d v="2026-01-20T00:00:00"/>
        <d v="2026-04-10T00:00:00"/>
        <d v="2026-01-15T00:00:00"/>
        <d v="2026-01-12T00:00:00"/>
        <d v="2026-04-16T00:00:00"/>
        <d v="2026-03-28T00:00:00"/>
        <d v="2026-01-06T00:00:00"/>
        <d v="2026-05-09T00:00:00"/>
        <d v="2026-03-09T00:00:00"/>
        <d v="2026-04-17T00:00:00"/>
        <d v="2026-04-29T00:00:00"/>
        <d v="2026-01-08T00:00:00"/>
        <d v="2026-06-04T00:00:00"/>
        <d v="2026-06-20T00:00:00"/>
        <d v="2026-04-19T00:00:00"/>
        <d v="2026-05-17T00:00:00"/>
        <d v="2026-04-05T00:00:00"/>
        <d v="2026-06-13T00:00:00"/>
        <d v="2026-06-27T00:00:00"/>
        <d v="2026-02-04T00:00:00"/>
        <d v="2026-04-11T00:00:00"/>
        <d v="2026-06-29T00:00:00"/>
        <d v="2026-05-15T00:00:00"/>
        <d v="2026-03-16T00:00:00"/>
        <d v="2026-03-24T00:00:00"/>
        <d v="2026-03-27T00:00:00"/>
        <d v="2026-04-12T00:00:00"/>
        <d v="2026-03-23T00:00:00"/>
        <d v="2026-09-03T00:00:00"/>
        <d v="2026-02-08T00:00:00"/>
        <d v="2026-04-02T00:00:00"/>
        <d v="2026-03-14T00:00:00"/>
        <d v="2026-03-21T00:00:00"/>
        <d v="2026-05-25T00:00:00"/>
        <d v="2026-04-30T00:00:00"/>
        <d v="2026-02-16T00:00:00"/>
        <d v="2026-02-17T00:00:00"/>
        <d v="2026-05-04T00:00:00"/>
        <d v="2026-03-17T00:00:00"/>
        <d v="2026-05-05T00:00:00"/>
        <d v="2026-06-28T00:00:00"/>
        <d v="2026-02-11T00:00:00"/>
        <d v="2026-04-04T00:00:00"/>
        <d v="2026-02-13T00:00:00"/>
        <d v="2026-04-13T00:00:00"/>
        <d v="2026-04-14T00:00:00"/>
        <d v="2026-03-19T00:00:00"/>
        <d v="2026-03-29T00:00:00"/>
        <d v="2026-04-06T00:00:00"/>
        <d v="2026-05-27T00:00:00"/>
        <d v="2026-02-24T00:00:00"/>
        <d v="2026-02-06T00:00:00"/>
        <d v="2026-05-21T00:00:00"/>
        <d v="2026-06-05T00:00:00"/>
        <d v="2026-06-09T00:00:00"/>
        <d v="2026-05-14T00:00:00"/>
        <d v="2026-06-30T00:00:00"/>
        <d v="2026-01-07T00:00:00"/>
        <d v="2026-03-03T00:00:00"/>
        <d v="2026-04-15T00:00:00"/>
        <d v="2026-05-23T00:00:00"/>
        <d v="2026-03-04T00:00:00"/>
        <d v="2026-01-23T00:00:00"/>
        <d v="2026-06-24T00:00:00"/>
        <d v="2026-01-21T00:00:00"/>
        <d v="2026-02-15T00:00:00"/>
        <d v="2026-05-07T00:00:00"/>
        <d v="2026-06-23T00:00:00"/>
        <d v="2026-04-18T00:00:00"/>
        <d v="2026-03-05T00:00:00"/>
        <d v="2026-06-03T00:00:00"/>
        <d v="2026-02-02T00:00:00"/>
        <d v="2026-04-08T00:00:00"/>
        <d v="2026-05-30T00:00:00"/>
        <d v="2026-03-02T00:00:00"/>
        <d v="2026-05-02T00:00:00"/>
        <d v="2026-04-27T00:00:00"/>
        <d v="2026-03-26T00:00:00"/>
        <d v="2026-02-14T00:00:00"/>
        <d v="2026-05-18T00:00:00"/>
        <d v="2026-02-26T00:00:00"/>
        <d v="2026-01-19T00:00:00"/>
        <d v="2026-06-17T00:00:00"/>
        <d v="2026-02-05T00:00:00"/>
        <d v="2026-02-22T00:00:00"/>
        <d v="2026-01-27T00:00:00"/>
        <d v="2026-03-01T00:00:00"/>
        <d v="2026-01-17T00:00:00"/>
        <d v="2026-06-11T00:00:00"/>
        <d v="2026-04-07T00:00:00"/>
        <d v="2026-01-22T00:00:00"/>
        <d v="2026-01-10T00:00:00"/>
        <d v="2026-01-16T00:00:00"/>
        <d v="2026-03-10T00:00:00"/>
        <d v="2026-02-01T00:00:00"/>
        <d v="2026-02-19T00:00:00"/>
        <d v="2026-03-25T00:00:00"/>
        <d v="2026-03-22T00:00:00"/>
        <d v="2026-06-18T00:00:00"/>
        <d v="2026-01-26T00:00:00"/>
        <d v="2026-03-31T00:00:00"/>
        <d v="2026-01-03T00:00:00"/>
        <d v="2026-01-02T00:00:00"/>
        <d v="2026-03-13T00:00:00"/>
        <d v="2026-03-06T00:00:00"/>
        <d v="2026-05-31T00:00:00"/>
        <d v="2026-04-23T00:00:00"/>
        <d v="2026-02-25T00:00:00"/>
        <d v="2026-01-05T00:00:00"/>
        <d v="2026-05-16T00:00:00"/>
        <d v="2026-04-09T00:00:00"/>
        <d v="2026-02-28T00:00:00"/>
        <d v="2026-03-07T00:00:00"/>
        <d v="2026-01-18T00:00:00"/>
        <d v="2026-04-22T00:00:00"/>
        <d v="2026-01-01T00:00:00"/>
        <d v="2026-11-06T00:00:00"/>
        <d v="2026-02-07T00:00:00"/>
        <d v="2026-06-15T00:00:00"/>
        <d v="2026-01-25T00:00:00"/>
        <d v="2026-02-20T00:00:00"/>
        <d v="2026-05-13T00:00:00"/>
        <d v="2026-02-27T00:00:00"/>
        <d v="2026-05-22T00:00:00"/>
        <d v="2026-06-07T00:00:00"/>
        <d v="2026-05-10T00:00:00"/>
        <d v="2026-06-16T00:00:00"/>
        <d v="2026-05-01T00:00:00"/>
        <d v="2026-05-03T00:00:00"/>
        <d v="2026-06-12T00:00:00"/>
        <d v="2026-03-08T00:00:00"/>
        <d v="2026-06-14T00:00:00"/>
        <d v="2026-02-18T00:00:00"/>
        <d v="2026-01-28T00:00:00"/>
        <d v="2026-06-19T00:00:00"/>
        <d v="2026-02-21T00:00:00"/>
        <d v="2026-09-06T00:00:00"/>
        <d v="2026-12-06T00:00:00"/>
        <d v="2026-04-21T00:00:00"/>
        <d v="2026-04-26T00:00:00"/>
      </sharedItems>
      <fieldGroup par="16"/>
    </cacheField>
    <cacheField name="Region" numFmtId="0">
      <sharedItems count="5">
        <s v="Bandung"/>
        <s v="Medan"/>
        <s v="Makassar"/>
        <s v="Jakarta"/>
        <s v="Surabaya"/>
      </sharedItems>
    </cacheField>
    <cacheField name="Customer Segment" numFmtId="0">
      <sharedItems count="4">
        <s v="VIP"/>
        <s v="Returning Customer"/>
        <s v="Corporate"/>
        <s v="New Customer"/>
      </sharedItems>
    </cacheField>
    <cacheField name="Acquisition Channel" numFmtId="0">
      <sharedItems count="6">
        <s v="Website"/>
        <s v="Event"/>
        <s v="Marketplace"/>
        <s v="Organic Search"/>
        <s v="Instagram"/>
        <s v="Referral"/>
      </sharedItems>
    </cacheField>
    <cacheField name="Product Category" numFmtId="0">
      <sharedItems count="5">
        <s v="Accessories"/>
        <s v="Stationery"/>
        <s v="Electronics"/>
        <s v="Furniture"/>
        <s v="Office Supplies"/>
      </sharedItems>
    </cacheField>
    <cacheField name="Items Purchased" numFmtId="0">
      <sharedItems containsString="0" containsBlank="1" containsNumber="1" containsInteger="1" minValue="1" maxValue="7"/>
    </cacheField>
    <cacheField name="Order Value" numFmtId="166">
      <sharedItems containsString="0" containsBlank="1" containsNumber="1" containsInteger="1" minValue="122247" maxValue="2499402" count="809">
        <n v="2028370"/>
        <n v="370197"/>
        <n v="832761"/>
        <n v="1915625"/>
        <n v="2094060"/>
        <n v="1825479"/>
        <n v="222397"/>
        <n v="416531"/>
        <n v="459566"/>
        <n v="291439"/>
        <n v="2126947"/>
        <n v="385789"/>
        <n v="1664115"/>
        <n v="740564"/>
        <n v="1882152"/>
        <n v="1557775"/>
        <n v="840317"/>
        <n v="794401"/>
        <n v="650468"/>
        <n v="801983"/>
        <n v="2248227"/>
        <n v="2128992"/>
        <n v="1488880"/>
        <n v="486485"/>
        <n v="1670340"/>
        <n v="1863193"/>
        <n v="1391843"/>
        <n v="1858597"/>
        <n v="297137"/>
        <n v="2101981"/>
        <n v="2188002"/>
        <n v="193589"/>
        <n v="1879569"/>
        <n v="2400494"/>
        <n v="1594840"/>
        <n v="2231340"/>
        <n v="192894"/>
        <n v="1052636"/>
        <n v="588596"/>
        <n v="1181211"/>
        <n v="1594439"/>
        <n v="406626"/>
        <n v="1017645"/>
        <n v="1712220"/>
        <n v="1329097"/>
        <n v="1067381"/>
        <n v="2182122"/>
        <n v="546653"/>
        <n v="1288190"/>
        <n v="1289752"/>
        <n v="406171"/>
        <n v="2300823"/>
        <n v="2412690"/>
        <n v="270915"/>
        <n v="2164534"/>
        <n v="1761586"/>
        <n v="657701"/>
        <n v="1593330"/>
        <n v="832105"/>
        <m/>
        <n v="1544131"/>
        <n v="319360"/>
        <n v="2347442"/>
        <n v="1807372"/>
        <n v="1013188"/>
        <n v="739681"/>
        <n v="1239605"/>
        <n v="1150064"/>
        <n v="1203794"/>
        <n v="1369815"/>
        <n v="2323100"/>
        <n v="1034393"/>
        <n v="1691626"/>
        <n v="1412564"/>
        <n v="1641924"/>
        <n v="792041"/>
        <n v="1515538"/>
        <n v="234717"/>
        <n v="464906"/>
        <n v="1213370"/>
        <n v="1702594"/>
        <n v="827813"/>
        <n v="1945188"/>
        <n v="1929039"/>
        <n v="1218066"/>
        <n v="1787465"/>
        <n v="1104996"/>
        <n v="1675672"/>
        <n v="2344758"/>
        <n v="1226280"/>
        <n v="348871"/>
        <n v="2472394"/>
        <n v="877721"/>
        <n v="1152459"/>
        <n v="764981"/>
        <n v="2020447"/>
        <n v="416638"/>
        <n v="803422"/>
        <n v="670656"/>
        <n v="1894486"/>
        <n v="1553381"/>
        <n v="1954402"/>
        <n v="320186"/>
        <n v="1182754"/>
        <n v="1768182"/>
        <n v="1005284"/>
        <n v="175803"/>
        <n v="1776738"/>
        <n v="728820"/>
        <n v="608463"/>
        <n v="1763048"/>
        <n v="1796380"/>
        <n v="1444771"/>
        <n v="1949681"/>
        <n v="1542510"/>
        <n v="989095"/>
        <n v="2190833"/>
        <n v="254091"/>
        <n v="315774"/>
        <n v="585277"/>
        <n v="981452"/>
        <n v="1523445"/>
        <n v="477496"/>
        <n v="1853964"/>
        <n v="1440386"/>
        <n v="2442010"/>
        <n v="473499"/>
        <n v="791203"/>
        <n v="1209497"/>
        <n v="1110263"/>
        <n v="707082"/>
        <n v="1848275"/>
        <n v="1809271"/>
        <n v="1868699"/>
        <n v="2030221"/>
        <n v="1334630"/>
        <n v="716177"/>
        <n v="1582339"/>
        <n v="677043"/>
        <n v="1838105"/>
        <n v="224035"/>
        <n v="914383"/>
        <n v="1983233"/>
        <n v="1860369"/>
        <n v="886169"/>
        <n v="365374"/>
        <n v="1111915"/>
        <n v="394551"/>
        <n v="646684"/>
        <n v="2374587"/>
        <n v="1266315"/>
        <n v="1778028"/>
        <n v="1557116"/>
        <n v="680886"/>
        <n v="445155"/>
        <n v="155363"/>
        <n v="923258"/>
        <n v="996971"/>
        <n v="2490369"/>
        <n v="216961"/>
        <n v="1269388"/>
        <n v="2353090"/>
        <n v="945761"/>
        <n v="1522166"/>
        <n v="1959325"/>
        <n v="380056"/>
        <n v="1804780"/>
        <n v="544790"/>
        <n v="403302"/>
        <n v="1984889"/>
        <n v="2389721"/>
        <n v="2246964"/>
        <n v="2080427"/>
        <n v="296966"/>
        <n v="1696688"/>
        <n v="717277"/>
        <n v="1038322"/>
        <n v="544422"/>
        <n v="1681750"/>
        <n v="1706267"/>
        <n v="1353891"/>
        <n v="2094121"/>
        <n v="1688161"/>
        <n v="971445"/>
        <n v="475504"/>
        <n v="1530854"/>
        <n v="1100588"/>
        <n v="1630943"/>
        <n v="698248"/>
        <n v="2270197"/>
        <n v="1548829"/>
        <n v="658320"/>
        <n v="1758446"/>
        <n v="2439059"/>
        <n v="2319474"/>
        <n v="2370047"/>
        <n v="2111371"/>
        <n v="388309"/>
        <n v="1327589"/>
        <n v="1932260"/>
        <n v="1268300"/>
        <n v="561343"/>
        <n v="427004"/>
        <n v="1492000"/>
        <n v="835502"/>
        <n v="763810"/>
        <n v="1413205"/>
        <n v="187270"/>
        <n v="2269581"/>
        <n v="1016658"/>
        <n v="1287935"/>
        <n v="839151"/>
        <n v="2142201"/>
        <n v="640329"/>
        <n v="967298"/>
        <n v="286125"/>
        <n v="2382037"/>
        <n v="145344"/>
        <n v="2422031"/>
        <n v="1164253"/>
        <n v="823661"/>
        <n v="1379262"/>
        <n v="2477794"/>
        <n v="1689751"/>
        <n v="642096"/>
        <n v="1736204"/>
        <n v="738103"/>
        <n v="457005"/>
        <n v="578328"/>
        <n v="126621"/>
        <n v="901818"/>
        <n v="886422"/>
        <n v="1704308"/>
        <n v="150310"/>
        <n v="2104877"/>
        <n v="360088"/>
        <n v="2345620"/>
        <n v="1471335"/>
        <n v="461287"/>
        <n v="720462"/>
        <n v="605191"/>
        <n v="1728472"/>
        <n v="1515869"/>
        <n v="1057640"/>
        <n v="1714653"/>
        <n v="649771"/>
        <n v="1038150"/>
        <n v="637845"/>
        <n v="760479"/>
        <n v="787704"/>
        <n v="1304320"/>
        <n v="696972"/>
        <n v="547600"/>
        <n v="2281891"/>
        <n v="1389572"/>
        <n v="1986961"/>
        <n v="516585"/>
        <n v="2374484"/>
        <n v="984990"/>
        <n v="839755"/>
        <n v="2177066"/>
        <n v="908838"/>
        <n v="1890059"/>
        <n v="720808"/>
        <n v="1446911"/>
        <n v="1826164"/>
        <n v="1701906"/>
        <n v="1302779"/>
        <n v="2350036"/>
        <n v="718401"/>
        <n v="887996"/>
        <n v="498077"/>
        <n v="1898316"/>
        <n v="1902490"/>
        <n v="1064006"/>
        <n v="594935"/>
        <n v="129371"/>
        <n v="144709"/>
        <n v="545041"/>
        <n v="1169141"/>
        <n v="1962795"/>
        <n v="1774845"/>
        <n v="2427385"/>
        <n v="649000"/>
        <n v="1941705"/>
        <n v="602428"/>
        <n v="743802"/>
        <n v="1715314"/>
        <n v="1911273"/>
        <n v="122247"/>
        <n v="2180604"/>
        <n v="2338208"/>
        <n v="624802"/>
        <n v="967245"/>
        <n v="612532"/>
        <n v="1334906"/>
        <n v="2256068"/>
        <n v="157167"/>
        <n v="837683"/>
        <n v="1000688"/>
        <n v="1832714"/>
        <n v="2373971"/>
        <n v="1778693"/>
        <n v="896063"/>
        <n v="1773383"/>
        <n v="695841"/>
        <n v="1242632"/>
        <n v="2135050"/>
        <n v="551238"/>
        <n v="1736413"/>
        <n v="1302014"/>
        <n v="1524437"/>
        <n v="1668170"/>
        <n v="1993576"/>
        <n v="1598948"/>
        <n v="2204998"/>
        <n v="1039953"/>
        <n v="369885"/>
        <n v="1061986"/>
        <n v="564637"/>
        <n v="443235"/>
        <n v="1534893"/>
        <n v="165581"/>
        <n v="1897001"/>
        <n v="1899315"/>
        <n v="566544"/>
        <n v="476680"/>
        <n v="1615894"/>
        <n v="543636"/>
        <n v="2062408"/>
        <n v="1541955"/>
        <n v="2206761"/>
        <n v="1359870"/>
        <n v="1974072"/>
        <n v="2269493"/>
        <n v="2472167"/>
        <n v="1583551"/>
        <n v="1936613"/>
        <n v="280567"/>
        <n v="1924010"/>
        <n v="1268842"/>
        <n v="507726"/>
        <n v="1607687"/>
        <n v="1447561"/>
        <n v="2009781"/>
        <n v="816678"/>
        <n v="2225897"/>
        <n v="595550"/>
        <n v="1954981"/>
        <n v="554845"/>
        <n v="1884295"/>
        <n v="1851973"/>
        <n v="1133152"/>
        <n v="1761492"/>
        <n v="2289617"/>
        <n v="1211484"/>
        <n v="2400327"/>
        <n v="1050108"/>
        <n v="217059"/>
        <n v="509135"/>
        <n v="440078"/>
        <n v="2499402"/>
        <n v="1187454"/>
        <n v="243721"/>
        <n v="2433146"/>
        <n v="1298946"/>
        <n v="1897283"/>
        <n v="389552"/>
        <n v="600876"/>
        <n v="1438911"/>
        <n v="2475691"/>
        <n v="1888948"/>
        <n v="2019118"/>
        <n v="1312716"/>
        <n v="1860966"/>
        <n v="2026654"/>
        <n v="701894"/>
        <n v="340163"/>
        <n v="834451"/>
        <n v="1128828"/>
        <n v="467264"/>
        <n v="1026537"/>
        <n v="2024306"/>
        <n v="908334"/>
        <n v="1128992"/>
        <n v="472601"/>
        <n v="326084"/>
        <n v="2190376"/>
        <n v="1236432"/>
        <n v="1245193"/>
        <n v="714893"/>
        <n v="2107387"/>
        <n v="2323138"/>
        <n v="2408894"/>
        <n v="2298139"/>
        <n v="1926572"/>
        <n v="853802"/>
        <n v="2301364"/>
        <n v="737112"/>
        <n v="185399"/>
        <n v="122691"/>
        <n v="1932152"/>
        <n v="1215807"/>
        <n v="2444834"/>
        <n v="1973468"/>
        <n v="236068"/>
        <n v="2398637"/>
        <n v="2050305"/>
        <n v="1509604"/>
        <n v="769175"/>
        <n v="761821"/>
        <n v="630914"/>
        <n v="210839"/>
        <n v="539512"/>
        <n v="1308758"/>
        <n v="704281"/>
        <n v="2322243"/>
        <n v="1390580"/>
        <n v="1479275"/>
        <n v="565520"/>
        <n v="379739"/>
        <n v="1467039"/>
        <n v="1319945"/>
        <n v="523517"/>
        <n v="2106979"/>
        <n v="447758"/>
        <n v="1335913"/>
        <n v="2217349"/>
        <n v="1214214"/>
        <n v="268319"/>
        <n v="556464"/>
        <n v="230535"/>
        <n v="1922370"/>
        <n v="1118958"/>
        <n v="651484"/>
        <n v="633283"/>
        <n v="1347603"/>
        <n v="973771"/>
        <n v="1966657"/>
        <n v="370484"/>
        <n v="893542"/>
        <n v="1028251"/>
        <n v="1325520"/>
        <n v="673114"/>
        <n v="1270371"/>
        <n v="869876"/>
        <n v="453643"/>
        <n v="653609"/>
        <n v="1966789"/>
        <n v="1104389"/>
        <n v="1864703"/>
        <n v="1691671"/>
        <n v="1007009"/>
        <n v="1718405"/>
        <n v="2319694"/>
        <n v="1088425"/>
        <n v="2374924"/>
        <n v="1833384"/>
        <n v="1224679"/>
        <n v="2279634"/>
        <n v="572027"/>
        <n v="684576"/>
        <n v="2022230"/>
        <n v="322534"/>
        <n v="720609"/>
        <n v="1314499"/>
        <n v="1288653"/>
        <n v="228117"/>
        <n v="623067"/>
        <n v="1052988"/>
        <n v="2306477"/>
        <n v="940734"/>
        <n v="133412"/>
        <n v="1104469"/>
        <n v="1765048"/>
        <n v="1902014"/>
        <n v="2171746"/>
        <n v="1452187"/>
        <n v="1413987"/>
        <n v="2383948"/>
        <n v="1638748"/>
        <n v="2439245"/>
        <n v="1307364"/>
        <n v="670264"/>
        <n v="1760492"/>
        <n v="970045"/>
        <n v="2356419"/>
        <n v="224404"/>
        <n v="470788"/>
        <n v="2315322"/>
        <n v="2491091"/>
        <n v="1469886"/>
        <n v="799867"/>
        <n v="2163437"/>
        <n v="2484792"/>
        <n v="1003392"/>
        <n v="871727"/>
        <n v="376304"/>
        <n v="1907468"/>
        <n v="759303"/>
        <n v="1282818"/>
        <n v="2114240"/>
        <n v="611977"/>
        <n v="1017158"/>
        <n v="1580374"/>
        <n v="870803"/>
        <n v="2228868"/>
        <n v="247617"/>
        <n v="862004"/>
        <n v="1283827"/>
        <n v="1866418"/>
        <n v="953338"/>
        <n v="2075603"/>
        <n v="898709"/>
        <n v="1410932"/>
        <n v="2489949"/>
        <n v="2174729"/>
        <n v="1737662"/>
        <n v="2232944"/>
        <n v="603595"/>
        <n v="261976"/>
        <n v="540301"/>
        <n v="2246347"/>
        <n v="1380735"/>
        <n v="713330"/>
        <n v="1110625"/>
        <n v="2094681"/>
        <n v="1455284"/>
        <n v="232811"/>
        <n v="1084998"/>
        <n v="1315226"/>
        <n v="566402"/>
        <n v="2246388"/>
        <n v="606364"/>
        <n v="1898658"/>
        <n v="2028363"/>
        <n v="1535417"/>
        <n v="269380"/>
        <n v="2189680"/>
        <n v="1489811"/>
        <n v="1386620"/>
        <n v="1391718"/>
        <n v="1272539"/>
        <n v="988792"/>
        <n v="195803"/>
        <n v="2114823"/>
        <n v="833087"/>
        <n v="2341268"/>
        <n v="2489330"/>
        <n v="637971"/>
        <n v="1596498"/>
        <n v="2195480"/>
        <n v="842555"/>
        <n v="2231250"/>
        <n v="2099348"/>
        <n v="854888"/>
        <n v="1980816"/>
        <n v="148870"/>
        <n v="627435"/>
        <n v="1965685"/>
        <n v="1545369"/>
        <n v="1556309"/>
        <n v="1329764"/>
        <n v="1356814"/>
        <n v="1390691"/>
        <n v="773794"/>
        <n v="1713300"/>
        <n v="946035"/>
        <n v="1791393"/>
        <n v="886234"/>
        <n v="387046"/>
        <n v="426412"/>
        <n v="1378127"/>
        <n v="1827790"/>
        <n v="1164473"/>
        <n v="2093446"/>
        <n v="1092251"/>
        <n v="768429"/>
        <n v="1868643"/>
        <n v="1442659"/>
        <n v="706910"/>
        <n v="219316"/>
        <n v="568096"/>
        <n v="1692943"/>
        <n v="430331"/>
        <n v="1495069"/>
        <n v="1436848"/>
        <n v="954604"/>
        <n v="2183637"/>
        <n v="487967"/>
        <n v="1505921"/>
        <n v="1755558"/>
        <n v="960251"/>
        <n v="2357334"/>
        <n v="965997"/>
        <n v="226635"/>
        <n v="1715953"/>
        <n v="1623198"/>
        <n v="150432"/>
        <n v="1381203"/>
        <n v="1164373"/>
        <n v="1349285"/>
        <n v="801044"/>
        <n v="1510755"/>
        <n v="182656"/>
        <n v="123026"/>
        <n v="524323"/>
        <n v="1066032"/>
        <n v="1382939"/>
        <n v="729101"/>
        <n v="263084"/>
        <n v="2020831"/>
        <n v="2422256"/>
        <n v="2398844"/>
        <n v="1407778"/>
        <n v="1050536"/>
        <n v="1641090"/>
        <n v="1068992"/>
        <n v="1886909"/>
        <n v="400241"/>
        <n v="931058"/>
        <n v="717304"/>
        <n v="1958245"/>
        <n v="1191444"/>
        <n v="1640642"/>
        <n v="1175583"/>
        <n v="2196080"/>
        <n v="572136"/>
        <n v="287205"/>
        <n v="878068"/>
        <n v="1563049"/>
        <n v="2415449"/>
        <n v="1074501"/>
        <n v="1725144"/>
        <n v="916035"/>
        <n v="438495"/>
        <n v="1735814"/>
        <n v="1151394"/>
        <n v="1966986"/>
        <n v="2295046"/>
        <n v="1648884"/>
        <n v="2115388"/>
        <n v="343143"/>
        <n v="361364"/>
        <n v="2178605"/>
        <n v="1397841"/>
        <n v="342176"/>
        <n v="1163540"/>
        <n v="514941"/>
        <n v="887514"/>
        <n v="1070597"/>
        <n v="1685091"/>
        <n v="2482922"/>
        <n v="768737"/>
        <n v="1535144"/>
        <n v="1653829"/>
        <n v="501486"/>
        <n v="1998647"/>
        <n v="1468529"/>
        <n v="2396613"/>
        <n v="339929"/>
        <n v="898904"/>
        <n v="984151"/>
        <n v="307723"/>
        <n v="1263429"/>
        <n v="1778715"/>
        <n v="398922"/>
        <n v="1216807"/>
        <n v="269716"/>
        <n v="1675675"/>
        <n v="760514"/>
        <n v="386964"/>
        <n v="1327148"/>
        <n v="193240"/>
        <n v="134348"/>
        <n v="2118284"/>
        <n v="1567648"/>
        <n v="1749284"/>
        <n v="1072046"/>
        <n v="1644882"/>
        <n v="1644272"/>
        <n v="2017166"/>
        <n v="2290555"/>
        <n v="2482919"/>
        <n v="2161304"/>
        <n v="1510447"/>
        <n v="1993247"/>
        <n v="1838322"/>
        <n v="688742"/>
        <n v="2182620"/>
        <n v="746989"/>
        <n v="1872122"/>
        <n v="1121616"/>
        <n v="251591"/>
        <n v="270924"/>
        <n v="2436860"/>
        <n v="568998"/>
        <n v="1550823"/>
        <n v="701812"/>
        <n v="1742780"/>
        <n v="376969"/>
        <n v="437843"/>
        <n v="1172559"/>
        <n v="1563776"/>
        <n v="396315"/>
        <n v="1434808"/>
        <n v="2064579"/>
        <n v="746561"/>
        <n v="1761196"/>
        <n v="2160674"/>
        <n v="1475945"/>
        <n v="785226"/>
        <n v="657430"/>
        <n v="2117275"/>
        <n v="1114125"/>
        <n v="2179153"/>
        <n v="720135"/>
        <n v="1264028"/>
        <n v="1304707"/>
        <n v="240885"/>
        <n v="639736"/>
        <n v="1478468"/>
        <n v="354290"/>
        <n v="1617706"/>
        <n v="770050"/>
        <n v="2459098"/>
        <n v="2219600"/>
        <n v="1860379"/>
        <n v="458175"/>
        <n v="1300349"/>
        <n v="1766819"/>
        <n v="567656"/>
        <n v="1083893"/>
        <n v="1749787"/>
        <n v="1162361"/>
        <n v="1719795"/>
        <n v="213929"/>
        <n v="247370"/>
        <n v="2482360"/>
        <n v="1933984"/>
        <n v="222395"/>
        <n v="318367"/>
        <n v="1574533"/>
        <n v="482578"/>
        <n v="728385"/>
        <n v="589258"/>
        <n v="2171769"/>
        <n v="1831269"/>
        <n v="1405788"/>
        <n v="627827"/>
        <n v="1379194"/>
        <n v="252196"/>
        <n v="1592431"/>
        <n v="514288"/>
        <n v="1842210"/>
        <n v="2489991"/>
        <n v="1350564"/>
        <n v="143876"/>
        <n v="2189264"/>
        <n v="2480431"/>
        <n v="565972"/>
        <n v="1620061"/>
        <n v="944252"/>
        <n v="1094119"/>
        <n v="1235213"/>
        <n v="2111285"/>
        <n v="2123570"/>
        <n v="299972"/>
        <n v="2130605"/>
        <n v="1935049"/>
        <n v="1552281"/>
        <n v="2469597"/>
        <n v="383965"/>
        <n v="1581770"/>
        <n v="1357383"/>
        <n v="1156106"/>
        <n v="2045517"/>
        <n v="912421"/>
        <n v="333880"/>
        <n v="348598"/>
        <n v="2496355"/>
        <n v="1238770"/>
        <n v="193151"/>
        <n v="1046829"/>
        <n v="1945332"/>
        <n v="1976095"/>
        <n v="1704038"/>
        <n v="1711503"/>
        <n v="1627938"/>
        <n v="1657609"/>
        <n v="497372"/>
        <n v="714056"/>
        <n v="857962"/>
        <n v="1248452"/>
        <n v="1485153"/>
        <n v="773931"/>
        <n v="1161088"/>
        <n v="1776821"/>
        <n v="2315594"/>
        <n v="604593"/>
        <n v="737276"/>
        <n v="1961408"/>
        <n v="730428"/>
        <n v="2433606"/>
        <n v="816025"/>
        <n v="1677204"/>
        <n v="2288444"/>
        <n v="1504758"/>
        <n v="1043743"/>
      </sharedItems>
    </cacheField>
    <cacheField name="Shipping Fee" numFmtId="166">
      <sharedItems containsSemiMixedTypes="0" containsString="0" containsNumber="1" containsInteger="1" minValue="0" maxValue="50000"/>
    </cacheField>
    <cacheField name="Delivery Status" numFmtId="0">
      <sharedItems count="4">
        <s v="Delivered"/>
        <s v="Delayed"/>
        <s v="Returned"/>
        <s v="Cancelled"/>
      </sharedItems>
    </cacheField>
    <cacheField name="Satisfaction" numFmtId="0">
      <sharedItems containsBlank="1" count="5">
        <s v="Satisfied"/>
        <s v="Dissatisfied"/>
        <s v="Very Satisfied"/>
        <s v="Neutral"/>
        <m/>
      </sharedItems>
    </cacheField>
    <cacheField name="Used Promo" numFmtId="0">
      <sharedItems count="2">
        <s v="No"/>
        <s v="Yes"/>
      </sharedItems>
    </cacheField>
    <cacheField name="Status Review" numFmtId="0">
      <sharedItems containsBlank="1" count="12">
        <m/>
        <s v="Check Shipping Fee"/>
        <s v="Check Order Date"/>
        <s v="Check Order Value"/>
        <s v="Check Order Date and Shipping Fee"/>
        <s v="Check Satisfaction"/>
        <s v="Check Items Purchased"/>
        <s v="Check Items Purchased and Order Value"/>
        <s v="Check Order Date and Order Value"/>
        <s v="Check Items Purchased and Shipping Fee"/>
        <s v="Check Shipping Fee and Satisfaction"/>
        <s v="Check Order Value and Shipping Fee"/>
      </sharedItems>
    </cacheField>
    <cacheField name="Days (Order Date)" numFmtId="0" databaseField="0">
      <fieldGroup base="3">
        <rangePr groupBy="days" startDate="2026-01-01T00:00:00" endDate="2026-12-0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6"/>
        </groupItems>
      </fieldGroup>
    </cacheField>
    <cacheField name="Months (Order Date)" numFmtId="0" databaseField="0">
      <fieldGroup base="3">
        <rangePr groupBy="months" startDate="2026-01-01T00:00:00" endDate="2026-12-07T00:00:00"/>
        <groupItems count="14">
          <s v="&lt;01/01/2026"/>
          <s v="Jan"/>
          <s v="Feb"/>
          <s v="Mar"/>
          <s v="Apr"/>
          <s v="May"/>
          <s v="Jun"/>
          <s v="Jul"/>
          <s v="Aug"/>
          <s v="Sep"/>
          <s v="Oct"/>
          <s v="Nov"/>
          <s v="Dec"/>
          <s v="&gt;07/1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0">
  <r>
    <s v="TXN-0001"/>
    <x v="0"/>
    <s v="Fajar Permata"/>
    <x v="0"/>
    <x v="0"/>
    <x v="0"/>
    <x v="0"/>
    <x v="0"/>
    <n v="4"/>
    <x v="0"/>
    <n v="15000"/>
    <x v="0"/>
    <x v="0"/>
    <x v="0"/>
    <x v="0"/>
  </r>
  <r>
    <s v="TXN-0002"/>
    <x v="1"/>
    <s v="Rizky Permata"/>
    <x v="1"/>
    <x v="1"/>
    <x v="1"/>
    <x v="0"/>
    <x v="0"/>
    <n v="2"/>
    <x v="1"/>
    <n v="25000"/>
    <x v="0"/>
    <x v="0"/>
    <x v="0"/>
    <x v="0"/>
  </r>
  <r>
    <s v="TXN-0003"/>
    <x v="2"/>
    <s v="Citra Putri"/>
    <x v="2"/>
    <x v="1"/>
    <x v="1"/>
    <x v="1"/>
    <x v="1"/>
    <n v="5"/>
    <x v="2"/>
    <n v="50000"/>
    <x v="1"/>
    <x v="1"/>
    <x v="0"/>
    <x v="0"/>
  </r>
  <r>
    <s v="TXN-0004"/>
    <x v="3"/>
    <s v="Dimas Lestari"/>
    <x v="3"/>
    <x v="2"/>
    <x v="1"/>
    <x v="1"/>
    <x v="2"/>
    <n v="2"/>
    <x v="3"/>
    <n v="15000"/>
    <x v="0"/>
    <x v="0"/>
    <x v="0"/>
    <x v="0"/>
  </r>
  <r>
    <s v="TXN-0005"/>
    <x v="4"/>
    <s v="Sari Saputra"/>
    <x v="4"/>
    <x v="3"/>
    <x v="2"/>
    <x v="2"/>
    <x v="0"/>
    <n v="1"/>
    <x v="4"/>
    <n v="50000"/>
    <x v="0"/>
    <x v="0"/>
    <x v="1"/>
    <x v="0"/>
  </r>
  <r>
    <s v="TXN-0006"/>
    <x v="5"/>
    <s v="Sari Wijaya"/>
    <x v="3"/>
    <x v="3"/>
    <x v="3"/>
    <x v="2"/>
    <x v="3"/>
    <n v="2"/>
    <x v="5"/>
    <n v="15000"/>
    <x v="0"/>
    <x v="2"/>
    <x v="1"/>
    <x v="0"/>
  </r>
  <r>
    <s v="TXN-0007"/>
    <x v="6"/>
    <s v="Nadia Lestari"/>
    <x v="5"/>
    <x v="1"/>
    <x v="1"/>
    <x v="0"/>
    <x v="1"/>
    <n v="4"/>
    <x v="6"/>
    <n v="35000"/>
    <x v="0"/>
    <x v="3"/>
    <x v="1"/>
    <x v="0"/>
  </r>
  <r>
    <s v="TXN-0008"/>
    <x v="7"/>
    <s v="Alya Lestari"/>
    <x v="6"/>
    <x v="1"/>
    <x v="0"/>
    <x v="3"/>
    <x v="4"/>
    <n v="6"/>
    <x v="7"/>
    <n v="35000"/>
    <x v="0"/>
    <x v="2"/>
    <x v="1"/>
    <x v="0"/>
  </r>
  <r>
    <s v="TXN-0009"/>
    <x v="8"/>
    <s v="Citra Wijaya"/>
    <x v="7"/>
    <x v="4"/>
    <x v="3"/>
    <x v="4"/>
    <x v="1"/>
    <n v="3"/>
    <x v="8"/>
    <n v="50000"/>
    <x v="0"/>
    <x v="2"/>
    <x v="0"/>
    <x v="0"/>
  </r>
  <r>
    <s v="TXN-0010"/>
    <x v="9"/>
    <s v="Fajar Pratama"/>
    <x v="8"/>
    <x v="3"/>
    <x v="1"/>
    <x v="5"/>
    <x v="3"/>
    <n v="3"/>
    <x v="9"/>
    <n v="25000"/>
    <x v="0"/>
    <x v="0"/>
    <x v="1"/>
    <x v="0"/>
  </r>
  <r>
    <s v="TXN-0011"/>
    <x v="10"/>
    <s v="Maya Pratama"/>
    <x v="9"/>
    <x v="0"/>
    <x v="0"/>
    <x v="0"/>
    <x v="3"/>
    <n v="7"/>
    <x v="10"/>
    <n v="50000"/>
    <x v="2"/>
    <x v="1"/>
    <x v="0"/>
    <x v="0"/>
  </r>
  <r>
    <s v="TXN-0012"/>
    <x v="11"/>
    <s v="Fajar Dewi"/>
    <x v="10"/>
    <x v="3"/>
    <x v="2"/>
    <x v="3"/>
    <x v="4"/>
    <n v="3"/>
    <x v="11"/>
    <n v="25000"/>
    <x v="0"/>
    <x v="0"/>
    <x v="0"/>
    <x v="0"/>
  </r>
  <r>
    <s v="TXN-0013"/>
    <x v="12"/>
    <s v="Nadia Lestari"/>
    <x v="8"/>
    <x v="0"/>
    <x v="0"/>
    <x v="4"/>
    <x v="2"/>
    <n v="2"/>
    <x v="12"/>
    <n v="0"/>
    <x v="1"/>
    <x v="0"/>
    <x v="1"/>
    <x v="1"/>
  </r>
  <r>
    <s v="TXN-0014"/>
    <x v="11"/>
    <s v="Fajar Dewi"/>
    <x v="11"/>
    <x v="4"/>
    <x v="2"/>
    <x v="3"/>
    <x v="4"/>
    <n v="2"/>
    <x v="13"/>
    <n v="35000"/>
    <x v="1"/>
    <x v="3"/>
    <x v="1"/>
    <x v="0"/>
  </r>
  <r>
    <s v="TXN-0015"/>
    <x v="13"/>
    <s v="Citra Permata"/>
    <x v="12"/>
    <x v="3"/>
    <x v="3"/>
    <x v="5"/>
    <x v="4"/>
    <n v="6"/>
    <x v="14"/>
    <n v="35000"/>
    <x v="0"/>
    <x v="2"/>
    <x v="0"/>
    <x v="0"/>
  </r>
  <r>
    <s v="TXN-0016"/>
    <x v="14"/>
    <s v="Rizky Dewi"/>
    <x v="13"/>
    <x v="2"/>
    <x v="2"/>
    <x v="2"/>
    <x v="3"/>
    <n v="4"/>
    <x v="15"/>
    <n v="25000"/>
    <x v="0"/>
    <x v="0"/>
    <x v="1"/>
    <x v="0"/>
  </r>
  <r>
    <s v="TXN-0017"/>
    <x v="15"/>
    <s v="Fajar Lestari"/>
    <x v="14"/>
    <x v="3"/>
    <x v="1"/>
    <x v="0"/>
    <x v="3"/>
    <n v="2"/>
    <x v="16"/>
    <n v="25000"/>
    <x v="0"/>
    <x v="1"/>
    <x v="0"/>
    <x v="0"/>
  </r>
  <r>
    <s v="TXN-0018"/>
    <x v="16"/>
    <s v="Maya Permata"/>
    <x v="8"/>
    <x v="0"/>
    <x v="1"/>
    <x v="5"/>
    <x v="2"/>
    <n v="3"/>
    <x v="17"/>
    <n v="50000"/>
    <x v="0"/>
    <x v="2"/>
    <x v="1"/>
    <x v="0"/>
  </r>
  <r>
    <s v="TXN-0019"/>
    <x v="17"/>
    <s v="Alya Wijaya"/>
    <x v="15"/>
    <x v="3"/>
    <x v="0"/>
    <x v="0"/>
    <x v="0"/>
    <n v="3"/>
    <x v="18"/>
    <n v="35000"/>
    <x v="0"/>
    <x v="2"/>
    <x v="0"/>
    <x v="0"/>
  </r>
  <r>
    <s v="TXN-0020"/>
    <x v="18"/>
    <s v="Alya Saputra"/>
    <x v="16"/>
    <x v="1"/>
    <x v="1"/>
    <x v="2"/>
    <x v="3"/>
    <n v="3"/>
    <x v="19"/>
    <n v="50000"/>
    <x v="0"/>
    <x v="2"/>
    <x v="1"/>
    <x v="0"/>
  </r>
  <r>
    <s v="TXN-0021"/>
    <x v="19"/>
    <s v="Alya Lestari"/>
    <x v="17"/>
    <x v="4"/>
    <x v="1"/>
    <x v="1"/>
    <x v="1"/>
    <n v="6"/>
    <x v="20"/>
    <n v="25000"/>
    <x v="0"/>
    <x v="0"/>
    <x v="0"/>
    <x v="0"/>
  </r>
  <r>
    <s v="TXN-0022"/>
    <x v="20"/>
    <s v="Rizky Santoso"/>
    <x v="11"/>
    <x v="3"/>
    <x v="2"/>
    <x v="1"/>
    <x v="0"/>
    <n v="2"/>
    <x v="21"/>
    <n v="0"/>
    <x v="0"/>
    <x v="2"/>
    <x v="0"/>
    <x v="1"/>
  </r>
  <r>
    <s v="TXN-0023"/>
    <x v="21"/>
    <s v="Maya Lestari"/>
    <x v="18"/>
    <x v="0"/>
    <x v="0"/>
    <x v="5"/>
    <x v="2"/>
    <n v="5"/>
    <x v="22"/>
    <n v="0"/>
    <x v="0"/>
    <x v="0"/>
    <x v="1"/>
    <x v="1"/>
  </r>
  <r>
    <s v="TXN-0024"/>
    <x v="22"/>
    <s v="Nadia Santoso"/>
    <x v="19"/>
    <x v="2"/>
    <x v="3"/>
    <x v="3"/>
    <x v="3"/>
    <n v="4"/>
    <x v="23"/>
    <n v="50000"/>
    <x v="0"/>
    <x v="2"/>
    <x v="0"/>
    <x v="0"/>
  </r>
  <r>
    <s v="TXN-0025"/>
    <x v="23"/>
    <s v="Dimas Permata"/>
    <x v="20"/>
    <x v="4"/>
    <x v="2"/>
    <x v="1"/>
    <x v="2"/>
    <n v="3"/>
    <x v="24"/>
    <n v="35000"/>
    <x v="0"/>
    <x v="2"/>
    <x v="1"/>
    <x v="0"/>
  </r>
  <r>
    <s v="TXN-0026"/>
    <x v="24"/>
    <s v="Bima Wijaya"/>
    <x v="21"/>
    <x v="1"/>
    <x v="2"/>
    <x v="5"/>
    <x v="4"/>
    <n v="3"/>
    <x v="25"/>
    <n v="35000"/>
    <x v="0"/>
    <x v="0"/>
    <x v="1"/>
    <x v="0"/>
  </r>
  <r>
    <s v="TXN-0027"/>
    <x v="25"/>
    <s v="Maya Santoso"/>
    <x v="22"/>
    <x v="2"/>
    <x v="2"/>
    <x v="4"/>
    <x v="2"/>
    <n v="7"/>
    <x v="26"/>
    <n v="35000"/>
    <x v="0"/>
    <x v="2"/>
    <x v="0"/>
    <x v="0"/>
  </r>
  <r>
    <s v="TXN-0028"/>
    <x v="26"/>
    <s v="Nadia Santoso"/>
    <x v="23"/>
    <x v="0"/>
    <x v="1"/>
    <x v="5"/>
    <x v="1"/>
    <n v="5"/>
    <x v="27"/>
    <n v="15000"/>
    <x v="0"/>
    <x v="0"/>
    <x v="0"/>
    <x v="0"/>
  </r>
  <r>
    <s v="TXN-0029"/>
    <x v="27"/>
    <s v="Rizky Lestari"/>
    <x v="24"/>
    <x v="1"/>
    <x v="1"/>
    <x v="4"/>
    <x v="2"/>
    <n v="7"/>
    <x v="28"/>
    <n v="25000"/>
    <x v="0"/>
    <x v="0"/>
    <x v="1"/>
    <x v="0"/>
  </r>
  <r>
    <s v="TXN-0030"/>
    <x v="28"/>
    <s v="Citra Dewi"/>
    <x v="25"/>
    <x v="0"/>
    <x v="2"/>
    <x v="3"/>
    <x v="0"/>
    <n v="6"/>
    <x v="29"/>
    <n v="0"/>
    <x v="0"/>
    <x v="2"/>
    <x v="1"/>
    <x v="1"/>
  </r>
  <r>
    <s v="TXN-0031"/>
    <x v="29"/>
    <s v="Rizky Permata"/>
    <x v="26"/>
    <x v="2"/>
    <x v="2"/>
    <x v="0"/>
    <x v="1"/>
    <n v="5"/>
    <x v="30"/>
    <n v="0"/>
    <x v="0"/>
    <x v="0"/>
    <x v="1"/>
    <x v="1"/>
  </r>
  <r>
    <s v="TXN-0032"/>
    <x v="30"/>
    <s v="Alya Saputra"/>
    <x v="27"/>
    <x v="1"/>
    <x v="1"/>
    <x v="0"/>
    <x v="0"/>
    <n v="2"/>
    <x v="31"/>
    <n v="25000"/>
    <x v="0"/>
    <x v="2"/>
    <x v="1"/>
    <x v="0"/>
  </r>
  <r>
    <s v="TXN-0033"/>
    <x v="31"/>
    <s v="Nadia Pratama"/>
    <x v="28"/>
    <x v="3"/>
    <x v="1"/>
    <x v="3"/>
    <x v="0"/>
    <n v="1"/>
    <x v="32"/>
    <n v="25000"/>
    <x v="0"/>
    <x v="0"/>
    <x v="1"/>
    <x v="0"/>
  </r>
  <r>
    <s v="TXN-0034"/>
    <x v="32"/>
    <s v="Fajar Pratama"/>
    <x v="29"/>
    <x v="4"/>
    <x v="0"/>
    <x v="3"/>
    <x v="3"/>
    <n v="7"/>
    <x v="33"/>
    <n v="25000"/>
    <x v="0"/>
    <x v="3"/>
    <x v="1"/>
    <x v="0"/>
  </r>
  <r>
    <s v="TXN-0035"/>
    <x v="33"/>
    <s v="Fajar Saputra"/>
    <x v="13"/>
    <x v="1"/>
    <x v="2"/>
    <x v="0"/>
    <x v="0"/>
    <n v="1"/>
    <x v="34"/>
    <n v="15000"/>
    <x v="0"/>
    <x v="2"/>
    <x v="1"/>
    <x v="0"/>
  </r>
  <r>
    <s v="TXN-0036"/>
    <x v="34"/>
    <s v="Maya Santoso"/>
    <x v="30"/>
    <x v="2"/>
    <x v="3"/>
    <x v="2"/>
    <x v="1"/>
    <n v="7"/>
    <x v="35"/>
    <n v="15000"/>
    <x v="0"/>
    <x v="3"/>
    <x v="1"/>
    <x v="0"/>
  </r>
  <r>
    <s v="TXN-0037"/>
    <x v="35"/>
    <s v="Alya Putri"/>
    <x v="31"/>
    <x v="1"/>
    <x v="0"/>
    <x v="5"/>
    <x v="3"/>
    <n v="3"/>
    <x v="36"/>
    <n v="35000"/>
    <x v="0"/>
    <x v="0"/>
    <x v="1"/>
    <x v="0"/>
  </r>
  <r>
    <s v="TXN-0038"/>
    <x v="36"/>
    <s v="Fajar Pratama"/>
    <x v="32"/>
    <x v="4"/>
    <x v="1"/>
    <x v="5"/>
    <x v="0"/>
    <n v="7"/>
    <x v="37"/>
    <n v="15000"/>
    <x v="0"/>
    <x v="0"/>
    <x v="1"/>
    <x v="0"/>
  </r>
  <r>
    <s v="TXN-0039"/>
    <x v="37"/>
    <s v="Raka Wijaya"/>
    <x v="33"/>
    <x v="3"/>
    <x v="1"/>
    <x v="4"/>
    <x v="2"/>
    <n v="1"/>
    <x v="38"/>
    <n v="0"/>
    <x v="0"/>
    <x v="0"/>
    <x v="1"/>
    <x v="1"/>
  </r>
  <r>
    <s v="TXN-0040"/>
    <x v="38"/>
    <s v="Rizky Saputra"/>
    <x v="32"/>
    <x v="3"/>
    <x v="3"/>
    <x v="1"/>
    <x v="0"/>
    <n v="1"/>
    <x v="39"/>
    <n v="0"/>
    <x v="0"/>
    <x v="2"/>
    <x v="1"/>
    <x v="1"/>
  </r>
  <r>
    <s v="TXN-0041"/>
    <x v="39"/>
    <s v="Rizky Wijaya"/>
    <x v="34"/>
    <x v="4"/>
    <x v="0"/>
    <x v="0"/>
    <x v="0"/>
    <n v="1"/>
    <x v="40"/>
    <n v="0"/>
    <x v="0"/>
    <x v="0"/>
    <x v="1"/>
    <x v="1"/>
  </r>
  <r>
    <s v="TXN-0042"/>
    <x v="40"/>
    <s v="Fajar Putri"/>
    <x v="35"/>
    <x v="0"/>
    <x v="1"/>
    <x v="0"/>
    <x v="0"/>
    <n v="7"/>
    <x v="41"/>
    <n v="0"/>
    <x v="0"/>
    <x v="2"/>
    <x v="1"/>
    <x v="1"/>
  </r>
  <r>
    <s v="TXN-0043"/>
    <x v="41"/>
    <s v="Sari Santoso"/>
    <x v="36"/>
    <x v="2"/>
    <x v="1"/>
    <x v="2"/>
    <x v="2"/>
    <n v="7"/>
    <x v="42"/>
    <n v="50000"/>
    <x v="0"/>
    <x v="0"/>
    <x v="1"/>
    <x v="2"/>
  </r>
  <r>
    <s v="TXN-0044"/>
    <x v="42"/>
    <s v="Maya Pratama"/>
    <x v="37"/>
    <x v="4"/>
    <x v="3"/>
    <x v="2"/>
    <x v="2"/>
    <n v="2"/>
    <x v="43"/>
    <n v="35000"/>
    <x v="0"/>
    <x v="0"/>
    <x v="1"/>
    <x v="0"/>
  </r>
  <r>
    <s v="TXN-0045"/>
    <x v="43"/>
    <s v="Bima Putri"/>
    <x v="28"/>
    <x v="3"/>
    <x v="2"/>
    <x v="0"/>
    <x v="1"/>
    <n v="6"/>
    <x v="44"/>
    <n v="50000"/>
    <x v="0"/>
    <x v="2"/>
    <x v="0"/>
    <x v="0"/>
  </r>
  <r>
    <s v="TXN-0046"/>
    <x v="44"/>
    <s v="Rizky Dewi"/>
    <x v="21"/>
    <x v="0"/>
    <x v="3"/>
    <x v="2"/>
    <x v="3"/>
    <n v="4"/>
    <x v="45"/>
    <n v="50000"/>
    <x v="0"/>
    <x v="3"/>
    <x v="1"/>
    <x v="0"/>
  </r>
  <r>
    <s v="TXN-0047"/>
    <x v="45"/>
    <s v="Alya Pratama"/>
    <x v="38"/>
    <x v="3"/>
    <x v="3"/>
    <x v="5"/>
    <x v="1"/>
    <n v="4"/>
    <x v="46"/>
    <n v="0"/>
    <x v="0"/>
    <x v="0"/>
    <x v="0"/>
    <x v="1"/>
  </r>
  <r>
    <s v="TXN-0048"/>
    <x v="46"/>
    <s v="Bima Santoso"/>
    <x v="39"/>
    <x v="0"/>
    <x v="2"/>
    <x v="4"/>
    <x v="0"/>
    <n v="1"/>
    <x v="47"/>
    <n v="15000"/>
    <x v="0"/>
    <x v="2"/>
    <x v="0"/>
    <x v="0"/>
  </r>
  <r>
    <s v="TXN-0049"/>
    <x v="41"/>
    <s v="Sari Santoso"/>
    <x v="40"/>
    <x v="1"/>
    <x v="0"/>
    <x v="2"/>
    <x v="4"/>
    <n v="5"/>
    <x v="48"/>
    <n v="50000"/>
    <x v="0"/>
    <x v="3"/>
    <x v="0"/>
    <x v="0"/>
  </r>
  <r>
    <s v="TXN-0050"/>
    <x v="47"/>
    <s v="Dimas Santoso"/>
    <x v="41"/>
    <x v="1"/>
    <x v="2"/>
    <x v="5"/>
    <x v="0"/>
    <n v="7"/>
    <x v="49"/>
    <n v="15000"/>
    <x v="0"/>
    <x v="2"/>
    <x v="1"/>
    <x v="0"/>
  </r>
  <r>
    <s v="TXN-0051"/>
    <x v="48"/>
    <s v="Nadia Putri"/>
    <x v="10"/>
    <x v="2"/>
    <x v="0"/>
    <x v="5"/>
    <x v="3"/>
    <n v="6"/>
    <x v="50"/>
    <n v="35000"/>
    <x v="0"/>
    <x v="2"/>
    <x v="1"/>
    <x v="0"/>
  </r>
  <r>
    <s v="TXN-0052"/>
    <x v="49"/>
    <s v="Citra Putri"/>
    <x v="42"/>
    <x v="1"/>
    <x v="2"/>
    <x v="1"/>
    <x v="3"/>
    <n v="7"/>
    <x v="51"/>
    <n v="35000"/>
    <x v="0"/>
    <x v="2"/>
    <x v="0"/>
    <x v="0"/>
  </r>
  <r>
    <s v="TXN-0053"/>
    <x v="50"/>
    <s v="Raka Lestari"/>
    <x v="16"/>
    <x v="3"/>
    <x v="2"/>
    <x v="2"/>
    <x v="3"/>
    <n v="7"/>
    <x v="52"/>
    <n v="0"/>
    <x v="0"/>
    <x v="0"/>
    <x v="0"/>
    <x v="1"/>
  </r>
  <r>
    <s v="TXN-0054"/>
    <x v="51"/>
    <s v="Bima Wijaya"/>
    <x v="5"/>
    <x v="4"/>
    <x v="1"/>
    <x v="2"/>
    <x v="1"/>
    <n v="2"/>
    <x v="53"/>
    <n v="0"/>
    <x v="0"/>
    <x v="3"/>
    <x v="1"/>
    <x v="1"/>
  </r>
  <r>
    <s v="TXN-0055"/>
    <x v="52"/>
    <s v="Fajar Wijaya"/>
    <x v="43"/>
    <x v="2"/>
    <x v="2"/>
    <x v="2"/>
    <x v="4"/>
    <n v="5"/>
    <x v="54"/>
    <n v="0"/>
    <x v="0"/>
    <x v="0"/>
    <x v="1"/>
    <x v="1"/>
  </r>
  <r>
    <s v="TXN-0056"/>
    <x v="40"/>
    <s v="Fajar Putri"/>
    <x v="44"/>
    <x v="4"/>
    <x v="0"/>
    <x v="0"/>
    <x v="2"/>
    <n v="4"/>
    <x v="55"/>
    <n v="25000"/>
    <x v="0"/>
    <x v="0"/>
    <x v="1"/>
    <x v="0"/>
  </r>
  <r>
    <s v="TXN-0057"/>
    <x v="53"/>
    <s v="Bima Lestari"/>
    <x v="45"/>
    <x v="4"/>
    <x v="2"/>
    <x v="4"/>
    <x v="1"/>
    <n v="3"/>
    <x v="56"/>
    <n v="25000"/>
    <x v="1"/>
    <x v="1"/>
    <x v="0"/>
    <x v="0"/>
  </r>
  <r>
    <s v="TXN-0058"/>
    <x v="21"/>
    <s v="Maya Lestari"/>
    <x v="46"/>
    <x v="4"/>
    <x v="3"/>
    <x v="3"/>
    <x v="2"/>
    <n v="6"/>
    <x v="57"/>
    <n v="0"/>
    <x v="0"/>
    <x v="2"/>
    <x v="0"/>
    <x v="1"/>
  </r>
  <r>
    <s v="TXN-0059"/>
    <x v="35"/>
    <s v="Alya Putri"/>
    <x v="47"/>
    <x v="1"/>
    <x v="2"/>
    <x v="0"/>
    <x v="2"/>
    <n v="5"/>
    <x v="58"/>
    <n v="0"/>
    <x v="0"/>
    <x v="0"/>
    <x v="0"/>
    <x v="1"/>
  </r>
  <r>
    <s v="TXN-0060"/>
    <x v="54"/>
    <s v="Raka Saputra"/>
    <x v="48"/>
    <x v="1"/>
    <x v="3"/>
    <x v="3"/>
    <x v="0"/>
    <n v="5"/>
    <x v="59"/>
    <n v="35000"/>
    <x v="0"/>
    <x v="0"/>
    <x v="0"/>
    <x v="3"/>
  </r>
  <r>
    <s v="TXN-0061"/>
    <x v="55"/>
    <s v="Bima Santoso"/>
    <x v="49"/>
    <x v="0"/>
    <x v="2"/>
    <x v="3"/>
    <x v="2"/>
    <n v="5"/>
    <x v="60"/>
    <n v="15000"/>
    <x v="0"/>
    <x v="1"/>
    <x v="1"/>
    <x v="0"/>
  </r>
  <r>
    <s v="TXN-0062"/>
    <x v="56"/>
    <s v="Bima Putri"/>
    <x v="50"/>
    <x v="3"/>
    <x v="3"/>
    <x v="1"/>
    <x v="3"/>
    <n v="5"/>
    <x v="61"/>
    <n v="25000"/>
    <x v="0"/>
    <x v="2"/>
    <x v="0"/>
    <x v="0"/>
  </r>
  <r>
    <s v="TXN-0063"/>
    <x v="57"/>
    <s v="Citra Santoso"/>
    <x v="35"/>
    <x v="4"/>
    <x v="0"/>
    <x v="2"/>
    <x v="4"/>
    <n v="4"/>
    <x v="62"/>
    <n v="35000"/>
    <x v="0"/>
    <x v="3"/>
    <x v="0"/>
    <x v="0"/>
  </r>
  <r>
    <s v="TXN-0064"/>
    <x v="58"/>
    <s v="Rizky Putri"/>
    <x v="51"/>
    <x v="2"/>
    <x v="1"/>
    <x v="4"/>
    <x v="4"/>
    <n v="5"/>
    <x v="63"/>
    <n v="25000"/>
    <x v="0"/>
    <x v="0"/>
    <x v="1"/>
    <x v="0"/>
  </r>
  <r>
    <s v="TXN-0065"/>
    <x v="59"/>
    <s v="Raka Pratama"/>
    <x v="40"/>
    <x v="2"/>
    <x v="2"/>
    <x v="1"/>
    <x v="2"/>
    <n v="3"/>
    <x v="64"/>
    <n v="35000"/>
    <x v="3"/>
    <x v="0"/>
    <x v="1"/>
    <x v="0"/>
  </r>
  <r>
    <s v="TXN-0066"/>
    <x v="60"/>
    <s v="Maya Putri"/>
    <x v="52"/>
    <x v="1"/>
    <x v="2"/>
    <x v="0"/>
    <x v="2"/>
    <n v="2"/>
    <x v="65"/>
    <n v="15000"/>
    <x v="0"/>
    <x v="0"/>
    <x v="1"/>
    <x v="0"/>
  </r>
  <r>
    <s v="TXN-0067"/>
    <x v="61"/>
    <s v="Dimas Santoso"/>
    <x v="46"/>
    <x v="0"/>
    <x v="2"/>
    <x v="5"/>
    <x v="2"/>
    <n v="6"/>
    <x v="66"/>
    <n v="25000"/>
    <x v="0"/>
    <x v="0"/>
    <x v="1"/>
    <x v="0"/>
  </r>
  <r>
    <s v="TXN-0068"/>
    <x v="62"/>
    <s v="Alya Permata"/>
    <x v="53"/>
    <x v="1"/>
    <x v="3"/>
    <x v="5"/>
    <x v="0"/>
    <n v="4"/>
    <x v="67"/>
    <n v="25000"/>
    <x v="0"/>
    <x v="1"/>
    <x v="0"/>
    <x v="0"/>
  </r>
  <r>
    <s v="TXN-0069"/>
    <x v="63"/>
    <s v="Maya Wijaya"/>
    <x v="53"/>
    <x v="3"/>
    <x v="2"/>
    <x v="4"/>
    <x v="2"/>
    <n v="6"/>
    <x v="68"/>
    <n v="25000"/>
    <x v="0"/>
    <x v="0"/>
    <x v="1"/>
    <x v="0"/>
  </r>
  <r>
    <s v="TXN-0070"/>
    <x v="64"/>
    <s v="Citra Saputra"/>
    <x v="54"/>
    <x v="1"/>
    <x v="1"/>
    <x v="5"/>
    <x v="2"/>
    <n v="4"/>
    <x v="69"/>
    <n v="0"/>
    <x v="1"/>
    <x v="1"/>
    <x v="1"/>
    <x v="1"/>
  </r>
  <r>
    <s v="TXN-0071"/>
    <x v="65"/>
    <s v="Citra Lestari"/>
    <x v="55"/>
    <x v="4"/>
    <x v="0"/>
    <x v="1"/>
    <x v="1"/>
    <n v="4"/>
    <x v="70"/>
    <n v="25000"/>
    <x v="1"/>
    <x v="0"/>
    <x v="1"/>
    <x v="0"/>
  </r>
  <r>
    <s v="TXN-0072"/>
    <x v="66"/>
    <s v="Citra Pratama"/>
    <x v="56"/>
    <x v="1"/>
    <x v="2"/>
    <x v="0"/>
    <x v="4"/>
    <n v="1"/>
    <x v="71"/>
    <n v="15000"/>
    <x v="0"/>
    <x v="1"/>
    <x v="1"/>
    <x v="0"/>
  </r>
  <r>
    <s v="TXN-0073"/>
    <x v="67"/>
    <s v="Fajar Wijaya"/>
    <x v="57"/>
    <x v="0"/>
    <x v="0"/>
    <x v="5"/>
    <x v="3"/>
    <n v="3"/>
    <x v="72"/>
    <n v="0"/>
    <x v="0"/>
    <x v="0"/>
    <x v="0"/>
    <x v="1"/>
  </r>
  <r>
    <s v="TXN-0074"/>
    <x v="68"/>
    <s v="Sari Pratama"/>
    <x v="58"/>
    <x v="3"/>
    <x v="1"/>
    <x v="0"/>
    <x v="4"/>
    <n v="6"/>
    <x v="73"/>
    <n v="0"/>
    <x v="2"/>
    <x v="1"/>
    <x v="0"/>
    <x v="1"/>
  </r>
  <r>
    <s v="TXN-0075"/>
    <x v="52"/>
    <s v="Fajar Wijaya"/>
    <x v="59"/>
    <x v="1"/>
    <x v="0"/>
    <x v="0"/>
    <x v="2"/>
    <n v="5"/>
    <x v="74"/>
    <n v="0"/>
    <x v="1"/>
    <x v="3"/>
    <x v="1"/>
    <x v="1"/>
  </r>
  <r>
    <s v="TXN-0076"/>
    <x v="69"/>
    <s v="Raka Permata"/>
    <x v="22"/>
    <x v="1"/>
    <x v="3"/>
    <x v="0"/>
    <x v="2"/>
    <n v="6"/>
    <x v="75"/>
    <n v="35000"/>
    <x v="0"/>
    <x v="3"/>
    <x v="0"/>
    <x v="0"/>
  </r>
  <r>
    <s v="TXN-0077"/>
    <x v="38"/>
    <s v="Rizky Saputra"/>
    <x v="46"/>
    <x v="4"/>
    <x v="3"/>
    <x v="0"/>
    <x v="1"/>
    <n v="7"/>
    <x v="76"/>
    <n v="35000"/>
    <x v="0"/>
    <x v="2"/>
    <x v="0"/>
    <x v="0"/>
  </r>
  <r>
    <s v="TXN-0078"/>
    <x v="70"/>
    <s v="Alya Wijaya"/>
    <x v="60"/>
    <x v="0"/>
    <x v="3"/>
    <x v="2"/>
    <x v="0"/>
    <n v="6"/>
    <x v="77"/>
    <n v="0"/>
    <x v="0"/>
    <x v="0"/>
    <x v="0"/>
    <x v="1"/>
  </r>
  <r>
    <s v="TXN-0079"/>
    <x v="64"/>
    <s v="Citra Saputra"/>
    <x v="36"/>
    <x v="0"/>
    <x v="2"/>
    <x v="0"/>
    <x v="1"/>
    <n v="2"/>
    <x v="78"/>
    <n v="0"/>
    <x v="0"/>
    <x v="0"/>
    <x v="0"/>
    <x v="4"/>
  </r>
  <r>
    <s v="TXN-0080"/>
    <x v="71"/>
    <s v="Sari Permata"/>
    <x v="61"/>
    <x v="4"/>
    <x v="1"/>
    <x v="4"/>
    <x v="1"/>
    <n v="6"/>
    <x v="79"/>
    <n v="15000"/>
    <x v="0"/>
    <x v="2"/>
    <x v="0"/>
    <x v="0"/>
  </r>
  <r>
    <s v="TXN-0081"/>
    <x v="72"/>
    <s v="Citra Putri"/>
    <x v="62"/>
    <x v="2"/>
    <x v="1"/>
    <x v="4"/>
    <x v="1"/>
    <n v="2"/>
    <x v="80"/>
    <n v="50000"/>
    <x v="0"/>
    <x v="2"/>
    <x v="1"/>
    <x v="0"/>
  </r>
  <r>
    <s v="TXN-0082"/>
    <x v="28"/>
    <s v="Citra Dewi"/>
    <x v="63"/>
    <x v="0"/>
    <x v="3"/>
    <x v="0"/>
    <x v="0"/>
    <n v="4"/>
    <x v="81"/>
    <n v="0"/>
    <x v="0"/>
    <x v="0"/>
    <x v="1"/>
    <x v="1"/>
  </r>
  <r>
    <s v="TXN-0083"/>
    <x v="45"/>
    <s v="Alya Pratama"/>
    <x v="64"/>
    <x v="0"/>
    <x v="1"/>
    <x v="0"/>
    <x v="3"/>
    <n v="7"/>
    <x v="82"/>
    <n v="35000"/>
    <x v="0"/>
    <x v="2"/>
    <x v="0"/>
    <x v="0"/>
  </r>
  <r>
    <s v="TXN-0084"/>
    <x v="73"/>
    <s v="Fajar Lestari"/>
    <x v="31"/>
    <x v="0"/>
    <x v="2"/>
    <x v="5"/>
    <x v="1"/>
    <n v="5"/>
    <x v="83"/>
    <n v="15000"/>
    <x v="0"/>
    <x v="3"/>
    <x v="1"/>
    <x v="0"/>
  </r>
  <r>
    <s v="TXN-0085"/>
    <x v="74"/>
    <s v="Nadia Pratama"/>
    <x v="65"/>
    <x v="2"/>
    <x v="2"/>
    <x v="4"/>
    <x v="2"/>
    <n v="5"/>
    <x v="84"/>
    <n v="15000"/>
    <x v="0"/>
    <x v="2"/>
    <x v="0"/>
    <x v="0"/>
  </r>
  <r>
    <s v="TXN-0086"/>
    <x v="63"/>
    <s v="Maya Wijaya"/>
    <x v="66"/>
    <x v="2"/>
    <x v="0"/>
    <x v="4"/>
    <x v="2"/>
    <n v="6"/>
    <x v="85"/>
    <n v="15000"/>
    <x v="0"/>
    <x v="0"/>
    <x v="1"/>
    <x v="0"/>
  </r>
  <r>
    <s v="TXN-0087"/>
    <x v="75"/>
    <s v="Citra Dewi"/>
    <x v="67"/>
    <x v="2"/>
    <x v="3"/>
    <x v="4"/>
    <x v="3"/>
    <n v="3"/>
    <x v="86"/>
    <n v="35000"/>
    <x v="2"/>
    <x v="1"/>
    <x v="0"/>
    <x v="0"/>
  </r>
  <r>
    <s v="TXN-0088"/>
    <x v="76"/>
    <s v="Maya Pratama"/>
    <x v="68"/>
    <x v="0"/>
    <x v="2"/>
    <x v="0"/>
    <x v="1"/>
    <n v="5"/>
    <x v="87"/>
    <n v="15000"/>
    <x v="0"/>
    <x v="4"/>
    <x v="1"/>
    <x v="5"/>
  </r>
  <r>
    <s v="TXN-0089"/>
    <x v="77"/>
    <s v="Maya Permata"/>
    <x v="69"/>
    <x v="0"/>
    <x v="2"/>
    <x v="0"/>
    <x v="3"/>
    <n v="2"/>
    <x v="88"/>
    <n v="35000"/>
    <x v="0"/>
    <x v="2"/>
    <x v="0"/>
    <x v="0"/>
  </r>
  <r>
    <s v="TXN-0090"/>
    <x v="78"/>
    <s v="Alya Wijaya"/>
    <x v="70"/>
    <x v="1"/>
    <x v="1"/>
    <x v="1"/>
    <x v="1"/>
    <n v="3"/>
    <x v="89"/>
    <n v="50000"/>
    <x v="0"/>
    <x v="2"/>
    <x v="1"/>
    <x v="0"/>
  </r>
  <r>
    <s v="TXN-0091"/>
    <x v="79"/>
    <s v="Rizky Wijaya"/>
    <x v="71"/>
    <x v="1"/>
    <x v="2"/>
    <x v="4"/>
    <x v="1"/>
    <n v="2"/>
    <x v="90"/>
    <n v="15000"/>
    <x v="0"/>
    <x v="2"/>
    <x v="1"/>
    <x v="0"/>
  </r>
  <r>
    <s v="TXN-0092"/>
    <x v="51"/>
    <s v="Bima Wijaya"/>
    <x v="72"/>
    <x v="0"/>
    <x v="3"/>
    <x v="0"/>
    <x v="2"/>
    <n v="4"/>
    <x v="91"/>
    <n v="35000"/>
    <x v="0"/>
    <x v="3"/>
    <x v="1"/>
    <x v="0"/>
  </r>
  <r>
    <s v="TXN-0093"/>
    <x v="80"/>
    <s v="Nadia Wijaya"/>
    <x v="73"/>
    <x v="2"/>
    <x v="1"/>
    <x v="1"/>
    <x v="2"/>
    <n v="6"/>
    <x v="92"/>
    <n v="15000"/>
    <x v="0"/>
    <x v="2"/>
    <x v="1"/>
    <x v="0"/>
  </r>
  <r>
    <s v="TXN-0094"/>
    <x v="81"/>
    <s v="Nadia Dewi"/>
    <x v="42"/>
    <x v="4"/>
    <x v="3"/>
    <x v="2"/>
    <x v="3"/>
    <n v="6"/>
    <x v="93"/>
    <n v="35000"/>
    <x v="0"/>
    <x v="2"/>
    <x v="1"/>
    <x v="0"/>
  </r>
  <r>
    <s v="TXN-0095"/>
    <x v="82"/>
    <s v="Fajar Pratama"/>
    <x v="66"/>
    <x v="1"/>
    <x v="2"/>
    <x v="3"/>
    <x v="3"/>
    <n v="1"/>
    <x v="94"/>
    <n v="0"/>
    <x v="0"/>
    <x v="0"/>
    <x v="1"/>
    <x v="1"/>
  </r>
  <r>
    <s v="TXN-0096"/>
    <x v="83"/>
    <s v="Bima Lestari"/>
    <x v="45"/>
    <x v="0"/>
    <x v="1"/>
    <x v="4"/>
    <x v="3"/>
    <n v="6"/>
    <x v="95"/>
    <n v="25000"/>
    <x v="2"/>
    <x v="1"/>
    <x v="0"/>
    <x v="0"/>
  </r>
  <r>
    <s v="TXN-0097"/>
    <x v="84"/>
    <s v="Citra Putri"/>
    <x v="44"/>
    <x v="0"/>
    <x v="1"/>
    <x v="2"/>
    <x v="2"/>
    <m/>
    <x v="96"/>
    <n v="50000"/>
    <x v="0"/>
    <x v="0"/>
    <x v="1"/>
    <x v="6"/>
  </r>
  <r>
    <s v="TXN-0098"/>
    <x v="85"/>
    <s v="Fajar Dewi"/>
    <x v="22"/>
    <x v="0"/>
    <x v="3"/>
    <x v="0"/>
    <x v="1"/>
    <n v="7"/>
    <x v="97"/>
    <n v="35000"/>
    <x v="0"/>
    <x v="0"/>
    <x v="0"/>
    <x v="0"/>
  </r>
  <r>
    <s v="TXN-0099"/>
    <x v="86"/>
    <s v="Citra Lestari"/>
    <x v="74"/>
    <x v="0"/>
    <x v="2"/>
    <x v="2"/>
    <x v="1"/>
    <n v="6"/>
    <x v="98"/>
    <n v="25000"/>
    <x v="0"/>
    <x v="0"/>
    <x v="0"/>
    <x v="0"/>
  </r>
  <r>
    <s v="TXN-0100"/>
    <x v="87"/>
    <s v="Fajar Saputra"/>
    <x v="75"/>
    <x v="0"/>
    <x v="2"/>
    <x v="3"/>
    <x v="1"/>
    <n v="7"/>
    <x v="99"/>
    <n v="0"/>
    <x v="0"/>
    <x v="0"/>
    <x v="1"/>
    <x v="1"/>
  </r>
  <r>
    <s v="TXN-0101"/>
    <x v="88"/>
    <s v="Maya Saputra"/>
    <x v="27"/>
    <x v="0"/>
    <x v="2"/>
    <x v="1"/>
    <x v="4"/>
    <n v="6"/>
    <x v="100"/>
    <n v="35000"/>
    <x v="0"/>
    <x v="0"/>
    <x v="1"/>
    <x v="0"/>
  </r>
  <r>
    <s v="TXN-0102"/>
    <x v="89"/>
    <s v="Citra Permata"/>
    <x v="76"/>
    <x v="0"/>
    <x v="0"/>
    <x v="5"/>
    <x v="4"/>
    <n v="7"/>
    <x v="101"/>
    <n v="0"/>
    <x v="0"/>
    <x v="2"/>
    <x v="0"/>
    <x v="1"/>
  </r>
  <r>
    <s v="TXN-0103"/>
    <x v="90"/>
    <s v="Nadia Permata"/>
    <x v="35"/>
    <x v="2"/>
    <x v="2"/>
    <x v="2"/>
    <x v="2"/>
    <n v="1"/>
    <x v="102"/>
    <n v="50000"/>
    <x v="3"/>
    <x v="0"/>
    <x v="0"/>
    <x v="0"/>
  </r>
  <r>
    <s v="TXN-0104"/>
    <x v="91"/>
    <s v="Alya Permata"/>
    <x v="35"/>
    <x v="3"/>
    <x v="3"/>
    <x v="3"/>
    <x v="1"/>
    <n v="3"/>
    <x v="103"/>
    <n v="25000"/>
    <x v="0"/>
    <x v="0"/>
    <x v="1"/>
    <x v="0"/>
  </r>
  <r>
    <s v="TXN-0105"/>
    <x v="8"/>
    <s v="Citra Wijaya"/>
    <x v="77"/>
    <x v="4"/>
    <x v="2"/>
    <x v="3"/>
    <x v="1"/>
    <n v="1"/>
    <x v="104"/>
    <n v="0"/>
    <x v="0"/>
    <x v="0"/>
    <x v="0"/>
    <x v="1"/>
  </r>
  <r>
    <s v="TXN-0106"/>
    <x v="92"/>
    <s v="Raka Santoso"/>
    <x v="78"/>
    <x v="3"/>
    <x v="2"/>
    <x v="1"/>
    <x v="2"/>
    <n v="1"/>
    <x v="105"/>
    <n v="15000"/>
    <x v="0"/>
    <x v="0"/>
    <x v="1"/>
    <x v="0"/>
  </r>
  <r>
    <s v="TXN-0107"/>
    <x v="93"/>
    <s v="Rizky Santoso"/>
    <x v="9"/>
    <x v="2"/>
    <x v="2"/>
    <x v="0"/>
    <x v="4"/>
    <n v="6"/>
    <x v="106"/>
    <n v="15000"/>
    <x v="0"/>
    <x v="0"/>
    <x v="0"/>
    <x v="0"/>
  </r>
  <r>
    <s v="TXN-0108"/>
    <x v="20"/>
    <s v="Rizky Santoso"/>
    <x v="38"/>
    <x v="3"/>
    <x v="3"/>
    <x v="3"/>
    <x v="0"/>
    <n v="1"/>
    <x v="107"/>
    <n v="25000"/>
    <x v="0"/>
    <x v="2"/>
    <x v="1"/>
    <x v="0"/>
  </r>
  <r>
    <s v="TXN-0109"/>
    <x v="94"/>
    <s v="Raka Permata"/>
    <x v="79"/>
    <x v="3"/>
    <x v="0"/>
    <x v="2"/>
    <x v="0"/>
    <n v="4"/>
    <x v="108"/>
    <n v="15000"/>
    <x v="1"/>
    <x v="3"/>
    <x v="0"/>
    <x v="0"/>
  </r>
  <r>
    <s v="TXN-0110"/>
    <x v="37"/>
    <s v="Raka Wijaya"/>
    <x v="48"/>
    <x v="1"/>
    <x v="2"/>
    <x v="4"/>
    <x v="1"/>
    <n v="2"/>
    <x v="109"/>
    <n v="15000"/>
    <x v="0"/>
    <x v="0"/>
    <x v="1"/>
    <x v="0"/>
  </r>
  <r>
    <s v="TXN-0111"/>
    <x v="58"/>
    <s v="Rizky Putri"/>
    <x v="80"/>
    <x v="1"/>
    <x v="2"/>
    <x v="2"/>
    <x v="4"/>
    <n v="3"/>
    <x v="110"/>
    <n v="0"/>
    <x v="0"/>
    <x v="0"/>
    <x v="0"/>
    <x v="1"/>
  </r>
  <r>
    <s v="TXN-0112"/>
    <x v="95"/>
    <s v="Citra Pratama"/>
    <x v="81"/>
    <x v="1"/>
    <x v="1"/>
    <x v="3"/>
    <x v="2"/>
    <n v="5"/>
    <x v="111"/>
    <n v="35000"/>
    <x v="0"/>
    <x v="0"/>
    <x v="1"/>
    <x v="0"/>
  </r>
  <r>
    <s v="TXN-0113"/>
    <x v="37"/>
    <s v="Raka Wijaya"/>
    <x v="15"/>
    <x v="1"/>
    <x v="3"/>
    <x v="2"/>
    <x v="4"/>
    <n v="1"/>
    <x v="112"/>
    <n v="50000"/>
    <x v="0"/>
    <x v="0"/>
    <x v="0"/>
    <x v="0"/>
  </r>
  <r>
    <s v="TXN-0114"/>
    <x v="18"/>
    <s v="Alya Saputra"/>
    <x v="82"/>
    <x v="4"/>
    <x v="2"/>
    <x v="5"/>
    <x v="4"/>
    <n v="2"/>
    <x v="113"/>
    <n v="0"/>
    <x v="0"/>
    <x v="2"/>
    <x v="1"/>
    <x v="1"/>
  </r>
  <r>
    <s v="TXN-0115"/>
    <x v="54"/>
    <s v="Raka Saputra"/>
    <x v="7"/>
    <x v="4"/>
    <x v="2"/>
    <x v="2"/>
    <x v="3"/>
    <n v="7"/>
    <x v="114"/>
    <n v="50000"/>
    <x v="1"/>
    <x v="0"/>
    <x v="0"/>
    <x v="0"/>
  </r>
  <r>
    <s v="TXN-0116"/>
    <x v="84"/>
    <s v="Citra Putri"/>
    <x v="83"/>
    <x v="0"/>
    <x v="1"/>
    <x v="5"/>
    <x v="0"/>
    <n v="6"/>
    <x v="115"/>
    <n v="25000"/>
    <x v="0"/>
    <x v="0"/>
    <x v="0"/>
    <x v="0"/>
  </r>
  <r>
    <s v="TXN-0117"/>
    <x v="48"/>
    <s v="Nadia Putri"/>
    <x v="51"/>
    <x v="3"/>
    <x v="0"/>
    <x v="0"/>
    <x v="3"/>
    <n v="2"/>
    <x v="116"/>
    <n v="25000"/>
    <x v="0"/>
    <x v="2"/>
    <x v="1"/>
    <x v="0"/>
  </r>
  <r>
    <s v="TXN-0118"/>
    <x v="96"/>
    <s v="Nadia Lestari"/>
    <x v="49"/>
    <x v="3"/>
    <x v="1"/>
    <x v="2"/>
    <x v="3"/>
    <n v="3"/>
    <x v="117"/>
    <n v="0"/>
    <x v="0"/>
    <x v="0"/>
    <x v="0"/>
    <x v="1"/>
  </r>
  <r>
    <s v="TXN-0119"/>
    <x v="97"/>
    <s v="Citra Pratama"/>
    <x v="37"/>
    <x v="2"/>
    <x v="3"/>
    <x v="3"/>
    <x v="2"/>
    <n v="3"/>
    <x v="118"/>
    <n v="50000"/>
    <x v="1"/>
    <x v="1"/>
    <x v="0"/>
    <x v="0"/>
  </r>
  <r>
    <s v="TXN-0120"/>
    <x v="84"/>
    <s v="Citra Putri"/>
    <x v="5"/>
    <x v="3"/>
    <x v="3"/>
    <x v="1"/>
    <x v="2"/>
    <n v="7"/>
    <x v="119"/>
    <n v="0"/>
    <x v="0"/>
    <x v="3"/>
    <x v="1"/>
    <x v="1"/>
  </r>
  <r>
    <s v="TXN-0121"/>
    <x v="98"/>
    <s v="Sari Putri"/>
    <x v="32"/>
    <x v="2"/>
    <x v="2"/>
    <x v="3"/>
    <x v="2"/>
    <n v="2"/>
    <x v="120"/>
    <n v="25000"/>
    <x v="0"/>
    <x v="0"/>
    <x v="1"/>
    <x v="0"/>
  </r>
  <r>
    <s v="TXN-0122"/>
    <x v="99"/>
    <s v="Maya Dewi"/>
    <x v="84"/>
    <x v="3"/>
    <x v="1"/>
    <x v="2"/>
    <x v="3"/>
    <n v="1"/>
    <x v="121"/>
    <n v="15000"/>
    <x v="1"/>
    <x v="3"/>
    <x v="0"/>
    <x v="0"/>
  </r>
  <r>
    <s v="TXN-0123"/>
    <x v="40"/>
    <s v="Fajar Putri"/>
    <x v="85"/>
    <x v="0"/>
    <x v="1"/>
    <x v="1"/>
    <x v="1"/>
    <n v="3"/>
    <x v="122"/>
    <n v="25000"/>
    <x v="0"/>
    <x v="0"/>
    <x v="1"/>
    <x v="0"/>
  </r>
  <r>
    <s v="TXN-0124"/>
    <x v="100"/>
    <s v="Fajar Santoso"/>
    <x v="20"/>
    <x v="3"/>
    <x v="2"/>
    <x v="5"/>
    <x v="2"/>
    <n v="4"/>
    <x v="123"/>
    <n v="35000"/>
    <x v="2"/>
    <x v="3"/>
    <x v="1"/>
    <x v="0"/>
  </r>
  <r>
    <s v="TXN-0125"/>
    <x v="101"/>
    <s v="Fajar Saputra"/>
    <x v="47"/>
    <x v="3"/>
    <x v="1"/>
    <x v="1"/>
    <x v="2"/>
    <n v="7"/>
    <x v="124"/>
    <n v="35000"/>
    <x v="0"/>
    <x v="2"/>
    <x v="0"/>
    <x v="0"/>
  </r>
  <r>
    <s v="TXN-0126"/>
    <x v="102"/>
    <s v="Bima Dewi"/>
    <x v="86"/>
    <x v="3"/>
    <x v="0"/>
    <x v="1"/>
    <x v="4"/>
    <n v="6"/>
    <x v="125"/>
    <n v="25000"/>
    <x v="0"/>
    <x v="3"/>
    <x v="1"/>
    <x v="0"/>
  </r>
  <r>
    <s v="TXN-0127"/>
    <x v="103"/>
    <s v="Bima Pratama"/>
    <x v="87"/>
    <x v="1"/>
    <x v="0"/>
    <x v="3"/>
    <x v="1"/>
    <n v="5"/>
    <x v="59"/>
    <n v="15000"/>
    <x v="0"/>
    <x v="0"/>
    <x v="1"/>
    <x v="3"/>
  </r>
  <r>
    <s v="TXN-0128"/>
    <x v="104"/>
    <s v="Alya Dewi"/>
    <x v="88"/>
    <x v="0"/>
    <x v="0"/>
    <x v="5"/>
    <x v="2"/>
    <n v="5"/>
    <x v="126"/>
    <n v="0"/>
    <x v="0"/>
    <x v="0"/>
    <x v="0"/>
    <x v="1"/>
  </r>
  <r>
    <s v="TXN-0129"/>
    <x v="65"/>
    <s v="Citra Lestari"/>
    <x v="89"/>
    <x v="4"/>
    <x v="2"/>
    <x v="1"/>
    <x v="2"/>
    <n v="1"/>
    <x v="127"/>
    <n v="0"/>
    <x v="1"/>
    <x v="0"/>
    <x v="1"/>
    <x v="1"/>
  </r>
  <r>
    <s v="TXN-0130"/>
    <x v="105"/>
    <s v="Raka Putri"/>
    <x v="90"/>
    <x v="3"/>
    <x v="2"/>
    <x v="0"/>
    <x v="4"/>
    <n v="3"/>
    <x v="128"/>
    <n v="50000"/>
    <x v="0"/>
    <x v="0"/>
    <x v="1"/>
    <x v="0"/>
  </r>
  <r>
    <s v="TXN-0131"/>
    <x v="70"/>
    <s v="Alya Wijaya"/>
    <x v="47"/>
    <x v="2"/>
    <x v="1"/>
    <x v="0"/>
    <x v="3"/>
    <n v="5"/>
    <x v="129"/>
    <n v="50000"/>
    <x v="0"/>
    <x v="1"/>
    <x v="0"/>
    <x v="0"/>
  </r>
  <r>
    <s v="TXN-0132"/>
    <x v="106"/>
    <s v="Rizky Putri"/>
    <x v="91"/>
    <x v="2"/>
    <x v="1"/>
    <x v="0"/>
    <x v="1"/>
    <n v="5"/>
    <x v="130"/>
    <n v="35000"/>
    <x v="0"/>
    <x v="2"/>
    <x v="1"/>
    <x v="0"/>
  </r>
  <r>
    <s v="TXN-0133"/>
    <x v="23"/>
    <s v="Dimas Permata"/>
    <x v="56"/>
    <x v="1"/>
    <x v="1"/>
    <x v="2"/>
    <x v="2"/>
    <n v="1"/>
    <x v="131"/>
    <n v="0"/>
    <x v="0"/>
    <x v="3"/>
    <x v="0"/>
    <x v="1"/>
  </r>
  <r>
    <s v="TXN-0134"/>
    <x v="107"/>
    <s v="Alya Wijaya"/>
    <x v="64"/>
    <x v="4"/>
    <x v="2"/>
    <x v="3"/>
    <x v="1"/>
    <n v="5"/>
    <x v="132"/>
    <n v="50000"/>
    <x v="0"/>
    <x v="0"/>
    <x v="0"/>
    <x v="0"/>
  </r>
  <r>
    <s v="TXN-0135"/>
    <x v="20"/>
    <s v="Rizky Santoso"/>
    <x v="24"/>
    <x v="1"/>
    <x v="1"/>
    <x v="3"/>
    <x v="4"/>
    <n v="2"/>
    <x v="133"/>
    <n v="15000"/>
    <x v="0"/>
    <x v="0"/>
    <x v="1"/>
    <x v="0"/>
  </r>
  <r>
    <s v="TXN-0136"/>
    <x v="46"/>
    <s v="Bima Santoso"/>
    <x v="92"/>
    <x v="4"/>
    <x v="3"/>
    <x v="1"/>
    <x v="1"/>
    <n v="1"/>
    <x v="134"/>
    <n v="35000"/>
    <x v="0"/>
    <x v="1"/>
    <x v="1"/>
    <x v="0"/>
  </r>
  <r>
    <s v="TXN-0137"/>
    <x v="29"/>
    <s v="Rizky Permata"/>
    <x v="79"/>
    <x v="4"/>
    <x v="0"/>
    <x v="0"/>
    <x v="1"/>
    <n v="5"/>
    <x v="135"/>
    <n v="0"/>
    <x v="0"/>
    <x v="0"/>
    <x v="1"/>
    <x v="1"/>
  </r>
  <r>
    <s v="TXN-0138"/>
    <x v="108"/>
    <s v="Maya Permata"/>
    <x v="93"/>
    <x v="4"/>
    <x v="1"/>
    <x v="5"/>
    <x v="1"/>
    <n v="4"/>
    <x v="136"/>
    <n v="50000"/>
    <x v="0"/>
    <x v="3"/>
    <x v="1"/>
    <x v="0"/>
  </r>
  <r>
    <s v="TXN-0139"/>
    <x v="109"/>
    <s v="Sari Santoso"/>
    <x v="94"/>
    <x v="4"/>
    <x v="2"/>
    <x v="0"/>
    <x v="1"/>
    <n v="7"/>
    <x v="137"/>
    <n v="0"/>
    <x v="0"/>
    <x v="0"/>
    <x v="0"/>
    <x v="1"/>
  </r>
  <r>
    <s v="TXN-0140"/>
    <x v="42"/>
    <s v="Maya Pratama"/>
    <x v="95"/>
    <x v="1"/>
    <x v="1"/>
    <x v="3"/>
    <x v="3"/>
    <n v="5"/>
    <x v="138"/>
    <n v="15000"/>
    <x v="0"/>
    <x v="0"/>
    <x v="1"/>
    <x v="0"/>
  </r>
  <r>
    <s v="TXN-0141"/>
    <x v="84"/>
    <s v="Citra Putri"/>
    <x v="96"/>
    <x v="3"/>
    <x v="2"/>
    <x v="3"/>
    <x v="3"/>
    <n v="2"/>
    <x v="139"/>
    <n v="35000"/>
    <x v="3"/>
    <x v="2"/>
    <x v="1"/>
    <x v="0"/>
  </r>
  <r>
    <s v="TXN-0142"/>
    <x v="110"/>
    <s v="Raka Pratama"/>
    <x v="29"/>
    <x v="3"/>
    <x v="3"/>
    <x v="5"/>
    <x v="4"/>
    <n v="6"/>
    <x v="140"/>
    <n v="50000"/>
    <x v="1"/>
    <x v="3"/>
    <x v="1"/>
    <x v="0"/>
  </r>
  <r>
    <s v="TXN-0143"/>
    <x v="111"/>
    <s v="Maya Lestari"/>
    <x v="97"/>
    <x v="0"/>
    <x v="3"/>
    <x v="0"/>
    <x v="0"/>
    <n v="5"/>
    <x v="141"/>
    <n v="35000"/>
    <x v="1"/>
    <x v="1"/>
    <x v="1"/>
    <x v="0"/>
  </r>
  <r>
    <s v="TXN-0144"/>
    <x v="112"/>
    <s v="Rizky Lestari"/>
    <x v="98"/>
    <x v="2"/>
    <x v="3"/>
    <x v="2"/>
    <x v="2"/>
    <n v="7"/>
    <x v="142"/>
    <n v="0"/>
    <x v="0"/>
    <x v="2"/>
    <x v="0"/>
    <x v="1"/>
  </r>
  <r>
    <s v="TXN-0145"/>
    <x v="113"/>
    <s v="Nadia Lestari"/>
    <x v="77"/>
    <x v="3"/>
    <x v="3"/>
    <x v="4"/>
    <x v="4"/>
    <n v="7"/>
    <x v="143"/>
    <n v="0"/>
    <x v="0"/>
    <x v="0"/>
    <x v="1"/>
    <x v="1"/>
  </r>
  <r>
    <s v="TXN-0146"/>
    <x v="56"/>
    <s v="Bima Putri"/>
    <x v="93"/>
    <x v="1"/>
    <x v="1"/>
    <x v="4"/>
    <x v="4"/>
    <n v="7"/>
    <x v="144"/>
    <n v="25000"/>
    <x v="0"/>
    <x v="2"/>
    <x v="0"/>
    <x v="0"/>
  </r>
  <r>
    <s v="TXN-0147"/>
    <x v="72"/>
    <s v="Citra Putri"/>
    <x v="99"/>
    <x v="4"/>
    <x v="0"/>
    <x v="2"/>
    <x v="2"/>
    <n v="4"/>
    <x v="145"/>
    <n v="25000"/>
    <x v="0"/>
    <x v="2"/>
    <x v="1"/>
    <x v="0"/>
  </r>
  <r>
    <s v="TXN-0148"/>
    <x v="58"/>
    <s v="Rizky Putri"/>
    <x v="100"/>
    <x v="3"/>
    <x v="0"/>
    <x v="4"/>
    <x v="3"/>
    <n v="5"/>
    <x v="146"/>
    <n v="35000"/>
    <x v="0"/>
    <x v="0"/>
    <x v="0"/>
    <x v="0"/>
  </r>
  <r>
    <s v="TXN-0149"/>
    <x v="27"/>
    <s v="Rizky Lestari"/>
    <x v="101"/>
    <x v="3"/>
    <x v="0"/>
    <x v="1"/>
    <x v="4"/>
    <n v="1"/>
    <x v="147"/>
    <n v="35000"/>
    <x v="0"/>
    <x v="2"/>
    <x v="1"/>
    <x v="0"/>
  </r>
  <r>
    <s v="TXN-0150"/>
    <x v="114"/>
    <s v="Citra Wijaya"/>
    <x v="102"/>
    <x v="2"/>
    <x v="1"/>
    <x v="5"/>
    <x v="3"/>
    <n v="5"/>
    <x v="148"/>
    <n v="25000"/>
    <x v="0"/>
    <x v="2"/>
    <x v="1"/>
    <x v="0"/>
  </r>
  <r>
    <s v="TXN-0151"/>
    <x v="97"/>
    <s v="Citra Pratama"/>
    <x v="103"/>
    <x v="1"/>
    <x v="0"/>
    <x v="3"/>
    <x v="0"/>
    <n v="5"/>
    <x v="149"/>
    <n v="35000"/>
    <x v="0"/>
    <x v="2"/>
    <x v="1"/>
    <x v="0"/>
  </r>
  <r>
    <s v="TXN-0152"/>
    <x v="115"/>
    <s v="Alya Dewi"/>
    <x v="79"/>
    <x v="0"/>
    <x v="0"/>
    <x v="4"/>
    <x v="0"/>
    <n v="3"/>
    <x v="150"/>
    <n v="50000"/>
    <x v="1"/>
    <x v="3"/>
    <x v="1"/>
    <x v="0"/>
  </r>
  <r>
    <s v="TXN-0153"/>
    <x v="69"/>
    <s v="Raka Permata"/>
    <x v="104"/>
    <x v="4"/>
    <x v="2"/>
    <x v="5"/>
    <x v="4"/>
    <n v="7"/>
    <x v="151"/>
    <n v="0"/>
    <x v="0"/>
    <x v="0"/>
    <x v="0"/>
    <x v="1"/>
  </r>
  <r>
    <s v="TXN-0154"/>
    <x v="116"/>
    <s v="Citra Putri"/>
    <x v="105"/>
    <x v="4"/>
    <x v="0"/>
    <x v="5"/>
    <x v="1"/>
    <n v="7"/>
    <x v="152"/>
    <n v="25000"/>
    <x v="0"/>
    <x v="2"/>
    <x v="0"/>
    <x v="0"/>
  </r>
  <r>
    <s v="TXN-0155"/>
    <x v="117"/>
    <s v="Nadia Saputra"/>
    <x v="60"/>
    <x v="0"/>
    <x v="2"/>
    <x v="1"/>
    <x v="1"/>
    <n v="5"/>
    <x v="153"/>
    <n v="0"/>
    <x v="0"/>
    <x v="3"/>
    <x v="0"/>
    <x v="1"/>
  </r>
  <r>
    <s v="TXN-0156"/>
    <x v="22"/>
    <s v="Nadia Santoso"/>
    <x v="106"/>
    <x v="3"/>
    <x v="0"/>
    <x v="2"/>
    <x v="4"/>
    <n v="1"/>
    <x v="154"/>
    <n v="50000"/>
    <x v="1"/>
    <x v="3"/>
    <x v="0"/>
    <x v="0"/>
  </r>
  <r>
    <s v="TXN-0157"/>
    <x v="118"/>
    <s v="Raka Pratama"/>
    <x v="107"/>
    <x v="3"/>
    <x v="1"/>
    <x v="3"/>
    <x v="2"/>
    <n v="4"/>
    <x v="155"/>
    <n v="0"/>
    <x v="0"/>
    <x v="2"/>
    <x v="0"/>
    <x v="1"/>
  </r>
  <r>
    <s v="TXN-0158"/>
    <x v="119"/>
    <s v="Bima Permata"/>
    <x v="72"/>
    <x v="0"/>
    <x v="1"/>
    <x v="2"/>
    <x v="3"/>
    <n v="7"/>
    <x v="156"/>
    <n v="0"/>
    <x v="0"/>
    <x v="2"/>
    <x v="1"/>
    <x v="1"/>
  </r>
  <r>
    <s v="TXN-0159"/>
    <x v="3"/>
    <s v="Dimas Lestari"/>
    <x v="108"/>
    <x v="4"/>
    <x v="2"/>
    <x v="5"/>
    <x v="4"/>
    <n v="2"/>
    <x v="157"/>
    <n v="0"/>
    <x v="2"/>
    <x v="0"/>
    <x v="1"/>
    <x v="1"/>
  </r>
  <r>
    <s v="TXN-0160"/>
    <x v="120"/>
    <s v="Citra Permata"/>
    <x v="75"/>
    <x v="0"/>
    <x v="0"/>
    <x v="1"/>
    <x v="0"/>
    <n v="1"/>
    <x v="158"/>
    <n v="15000"/>
    <x v="0"/>
    <x v="0"/>
    <x v="0"/>
    <x v="0"/>
  </r>
  <r>
    <s v="TXN-0161"/>
    <x v="62"/>
    <s v="Alya Permata"/>
    <x v="109"/>
    <x v="1"/>
    <x v="3"/>
    <x v="2"/>
    <x v="2"/>
    <n v="5"/>
    <x v="159"/>
    <n v="50000"/>
    <x v="0"/>
    <x v="0"/>
    <x v="0"/>
    <x v="0"/>
  </r>
  <r>
    <s v="TXN-0162"/>
    <x v="121"/>
    <s v="Fajar Wijaya"/>
    <x v="36"/>
    <x v="2"/>
    <x v="3"/>
    <x v="3"/>
    <x v="0"/>
    <n v="6"/>
    <x v="160"/>
    <n v="0"/>
    <x v="0"/>
    <x v="0"/>
    <x v="1"/>
    <x v="4"/>
  </r>
  <r>
    <s v="TXN-0163"/>
    <x v="3"/>
    <s v="Dimas Lestari"/>
    <x v="110"/>
    <x v="3"/>
    <x v="3"/>
    <x v="3"/>
    <x v="0"/>
    <n v="3"/>
    <x v="161"/>
    <n v="35000"/>
    <x v="0"/>
    <x v="2"/>
    <x v="0"/>
    <x v="0"/>
  </r>
  <r>
    <s v="TXN-0164"/>
    <x v="122"/>
    <s v="Fajar Saputra"/>
    <x v="111"/>
    <x v="3"/>
    <x v="3"/>
    <x v="2"/>
    <x v="1"/>
    <n v="3"/>
    <x v="162"/>
    <n v="15000"/>
    <x v="0"/>
    <x v="0"/>
    <x v="1"/>
    <x v="0"/>
  </r>
  <r>
    <s v="TXN-0165"/>
    <x v="53"/>
    <s v="Bima Lestari"/>
    <x v="6"/>
    <x v="4"/>
    <x v="3"/>
    <x v="0"/>
    <x v="4"/>
    <n v="2"/>
    <x v="163"/>
    <n v="25000"/>
    <x v="0"/>
    <x v="2"/>
    <x v="1"/>
    <x v="0"/>
  </r>
  <r>
    <s v="TXN-0166"/>
    <x v="123"/>
    <s v="Citra Saputra"/>
    <x v="112"/>
    <x v="3"/>
    <x v="3"/>
    <x v="2"/>
    <x v="3"/>
    <n v="6"/>
    <x v="164"/>
    <n v="0"/>
    <x v="0"/>
    <x v="2"/>
    <x v="1"/>
    <x v="1"/>
  </r>
  <r>
    <s v="TXN-0167"/>
    <x v="97"/>
    <s v="Citra Pratama"/>
    <x v="113"/>
    <x v="3"/>
    <x v="3"/>
    <x v="3"/>
    <x v="2"/>
    <n v="1"/>
    <x v="165"/>
    <n v="35000"/>
    <x v="0"/>
    <x v="0"/>
    <x v="1"/>
    <x v="0"/>
  </r>
  <r>
    <s v="TXN-0168"/>
    <x v="90"/>
    <s v="Nadia Permata"/>
    <x v="114"/>
    <x v="2"/>
    <x v="3"/>
    <x v="2"/>
    <x v="1"/>
    <n v="5"/>
    <x v="166"/>
    <n v="0"/>
    <x v="0"/>
    <x v="2"/>
    <x v="0"/>
    <x v="1"/>
  </r>
  <r>
    <s v="TXN-0169"/>
    <x v="124"/>
    <s v="Nadia Pratama"/>
    <x v="20"/>
    <x v="1"/>
    <x v="0"/>
    <x v="1"/>
    <x v="0"/>
    <n v="6"/>
    <x v="167"/>
    <n v="25000"/>
    <x v="3"/>
    <x v="3"/>
    <x v="1"/>
    <x v="0"/>
  </r>
  <r>
    <s v="TXN-0170"/>
    <x v="125"/>
    <s v="Rizky Permata"/>
    <x v="3"/>
    <x v="2"/>
    <x v="0"/>
    <x v="0"/>
    <x v="1"/>
    <n v="7"/>
    <x v="168"/>
    <n v="50000"/>
    <x v="1"/>
    <x v="0"/>
    <x v="0"/>
    <x v="0"/>
  </r>
  <r>
    <s v="TXN-0171"/>
    <x v="41"/>
    <s v="Sari Santoso"/>
    <x v="8"/>
    <x v="0"/>
    <x v="0"/>
    <x v="1"/>
    <x v="1"/>
    <n v="2"/>
    <x v="169"/>
    <n v="15000"/>
    <x v="0"/>
    <x v="2"/>
    <x v="0"/>
    <x v="0"/>
  </r>
  <r>
    <s v="TXN-0172"/>
    <x v="52"/>
    <s v="Fajar Wijaya"/>
    <x v="115"/>
    <x v="4"/>
    <x v="0"/>
    <x v="4"/>
    <x v="4"/>
    <n v="2"/>
    <x v="170"/>
    <n v="15000"/>
    <x v="0"/>
    <x v="0"/>
    <x v="1"/>
    <x v="0"/>
  </r>
  <r>
    <s v="TXN-0173"/>
    <x v="126"/>
    <s v="Alya Santoso"/>
    <x v="116"/>
    <x v="0"/>
    <x v="1"/>
    <x v="4"/>
    <x v="3"/>
    <n v="7"/>
    <x v="171"/>
    <n v="50000"/>
    <x v="0"/>
    <x v="2"/>
    <x v="1"/>
    <x v="0"/>
  </r>
  <r>
    <s v="TXN-0174"/>
    <x v="106"/>
    <s v="Rizky Putri"/>
    <x v="117"/>
    <x v="4"/>
    <x v="0"/>
    <x v="2"/>
    <x v="3"/>
    <n v="6"/>
    <x v="172"/>
    <n v="50000"/>
    <x v="0"/>
    <x v="0"/>
    <x v="1"/>
    <x v="0"/>
  </r>
  <r>
    <s v="TXN-0175"/>
    <x v="125"/>
    <s v="Rizky Permata"/>
    <x v="118"/>
    <x v="0"/>
    <x v="2"/>
    <x v="1"/>
    <x v="0"/>
    <n v="2"/>
    <x v="173"/>
    <n v="35000"/>
    <x v="3"/>
    <x v="0"/>
    <x v="1"/>
    <x v="0"/>
  </r>
  <r>
    <s v="TXN-0176"/>
    <x v="127"/>
    <s v="Maya Saputra"/>
    <x v="119"/>
    <x v="4"/>
    <x v="3"/>
    <x v="4"/>
    <x v="3"/>
    <n v="4"/>
    <x v="174"/>
    <n v="15000"/>
    <x v="0"/>
    <x v="4"/>
    <x v="1"/>
    <x v="5"/>
  </r>
  <r>
    <s v="TXN-0177"/>
    <x v="5"/>
    <s v="Sari Wijaya"/>
    <x v="9"/>
    <x v="4"/>
    <x v="3"/>
    <x v="4"/>
    <x v="0"/>
    <n v="4"/>
    <x v="175"/>
    <n v="25000"/>
    <x v="0"/>
    <x v="0"/>
    <x v="1"/>
    <x v="0"/>
  </r>
  <r>
    <s v="TXN-0178"/>
    <x v="78"/>
    <s v="Alya Wijaya"/>
    <x v="120"/>
    <x v="0"/>
    <x v="1"/>
    <x v="5"/>
    <x v="2"/>
    <n v="6"/>
    <x v="176"/>
    <n v="25000"/>
    <x v="0"/>
    <x v="3"/>
    <x v="1"/>
    <x v="0"/>
  </r>
  <r>
    <s v="TXN-0179"/>
    <x v="105"/>
    <s v="Raka Putri"/>
    <x v="50"/>
    <x v="3"/>
    <x v="0"/>
    <x v="5"/>
    <x v="3"/>
    <n v="7"/>
    <x v="177"/>
    <n v="0"/>
    <x v="0"/>
    <x v="0"/>
    <x v="0"/>
    <x v="1"/>
  </r>
  <r>
    <s v="TXN-0180"/>
    <x v="128"/>
    <s v="Rizky Dewi"/>
    <x v="58"/>
    <x v="3"/>
    <x v="3"/>
    <x v="5"/>
    <x v="0"/>
    <n v="5"/>
    <x v="178"/>
    <n v="15000"/>
    <x v="2"/>
    <x v="1"/>
    <x v="1"/>
    <x v="0"/>
  </r>
  <r>
    <s v="TXN-0181"/>
    <x v="62"/>
    <s v="Alya Permata"/>
    <x v="57"/>
    <x v="0"/>
    <x v="3"/>
    <x v="1"/>
    <x v="4"/>
    <n v="3"/>
    <x v="179"/>
    <n v="25000"/>
    <x v="0"/>
    <x v="1"/>
    <x v="1"/>
    <x v="0"/>
  </r>
  <r>
    <s v="TXN-0182"/>
    <x v="85"/>
    <s v="Fajar Dewi"/>
    <x v="121"/>
    <x v="4"/>
    <x v="1"/>
    <x v="1"/>
    <x v="4"/>
    <n v="3"/>
    <x v="180"/>
    <n v="15000"/>
    <x v="0"/>
    <x v="0"/>
    <x v="0"/>
    <x v="0"/>
  </r>
  <r>
    <s v="TXN-0183"/>
    <x v="94"/>
    <s v="Raka Permata"/>
    <x v="106"/>
    <x v="2"/>
    <x v="0"/>
    <x v="2"/>
    <x v="4"/>
    <n v="1"/>
    <x v="181"/>
    <n v="50000"/>
    <x v="0"/>
    <x v="0"/>
    <x v="0"/>
    <x v="0"/>
  </r>
  <r>
    <s v="TXN-0184"/>
    <x v="129"/>
    <s v="Raka Wijaya"/>
    <x v="36"/>
    <x v="1"/>
    <x v="0"/>
    <x v="1"/>
    <x v="1"/>
    <n v="6"/>
    <x v="182"/>
    <n v="50000"/>
    <x v="0"/>
    <x v="1"/>
    <x v="1"/>
    <x v="2"/>
  </r>
  <r>
    <s v="TXN-0185"/>
    <x v="94"/>
    <s v="Raka Permata"/>
    <x v="122"/>
    <x v="1"/>
    <x v="2"/>
    <x v="1"/>
    <x v="0"/>
    <n v="7"/>
    <x v="183"/>
    <n v="35000"/>
    <x v="0"/>
    <x v="2"/>
    <x v="0"/>
    <x v="0"/>
  </r>
  <r>
    <s v="TXN-0186"/>
    <x v="130"/>
    <s v="Citra Putri"/>
    <x v="94"/>
    <x v="4"/>
    <x v="1"/>
    <x v="1"/>
    <x v="2"/>
    <n v="7"/>
    <x v="184"/>
    <n v="15000"/>
    <x v="0"/>
    <x v="0"/>
    <x v="0"/>
    <x v="0"/>
  </r>
  <r>
    <s v="TXN-0187"/>
    <x v="131"/>
    <s v="Alya Putri"/>
    <x v="96"/>
    <x v="1"/>
    <x v="0"/>
    <x v="0"/>
    <x v="1"/>
    <n v="4"/>
    <x v="185"/>
    <n v="35000"/>
    <x v="0"/>
    <x v="0"/>
    <x v="1"/>
    <x v="0"/>
  </r>
  <r>
    <s v="TXN-0188"/>
    <x v="129"/>
    <s v="Raka Wijaya"/>
    <x v="21"/>
    <x v="4"/>
    <x v="3"/>
    <x v="0"/>
    <x v="0"/>
    <n v="6"/>
    <x v="186"/>
    <n v="25000"/>
    <x v="0"/>
    <x v="3"/>
    <x v="1"/>
    <x v="0"/>
  </r>
  <r>
    <s v="TXN-0189"/>
    <x v="29"/>
    <s v="Rizky Permata"/>
    <x v="123"/>
    <x v="4"/>
    <x v="0"/>
    <x v="0"/>
    <x v="3"/>
    <n v="5"/>
    <x v="187"/>
    <n v="0"/>
    <x v="0"/>
    <x v="2"/>
    <x v="1"/>
    <x v="1"/>
  </r>
  <r>
    <s v="TXN-0190"/>
    <x v="6"/>
    <s v="Nadia Lestari"/>
    <x v="54"/>
    <x v="4"/>
    <x v="2"/>
    <x v="2"/>
    <x v="4"/>
    <n v="3"/>
    <x v="188"/>
    <n v="50000"/>
    <x v="0"/>
    <x v="2"/>
    <x v="1"/>
    <x v="0"/>
  </r>
  <r>
    <s v="TXN-0191"/>
    <x v="38"/>
    <s v="Rizky Saputra"/>
    <x v="124"/>
    <x v="0"/>
    <x v="2"/>
    <x v="5"/>
    <x v="4"/>
    <n v="7"/>
    <x v="189"/>
    <n v="15000"/>
    <x v="0"/>
    <x v="2"/>
    <x v="0"/>
    <x v="0"/>
  </r>
  <r>
    <s v="TXN-0192"/>
    <x v="132"/>
    <s v="Alya Dewi"/>
    <x v="52"/>
    <x v="1"/>
    <x v="1"/>
    <x v="2"/>
    <x v="1"/>
    <n v="3"/>
    <x v="190"/>
    <n v="0"/>
    <x v="1"/>
    <x v="1"/>
    <x v="1"/>
    <x v="1"/>
  </r>
  <r>
    <s v="TXN-0193"/>
    <x v="30"/>
    <s v="Alya Saputra"/>
    <x v="125"/>
    <x v="4"/>
    <x v="0"/>
    <x v="5"/>
    <x v="1"/>
    <n v="6"/>
    <x v="191"/>
    <n v="25000"/>
    <x v="0"/>
    <x v="3"/>
    <x v="0"/>
    <x v="0"/>
  </r>
  <r>
    <s v="TXN-0194"/>
    <x v="44"/>
    <s v="Rizky Dewi"/>
    <x v="87"/>
    <x v="3"/>
    <x v="1"/>
    <x v="5"/>
    <x v="3"/>
    <m/>
    <x v="59"/>
    <n v="25000"/>
    <x v="0"/>
    <x v="0"/>
    <x v="0"/>
    <x v="7"/>
  </r>
  <r>
    <s v="TXN-0195"/>
    <x v="73"/>
    <s v="Fajar Lestari"/>
    <x v="126"/>
    <x v="4"/>
    <x v="2"/>
    <x v="3"/>
    <x v="3"/>
    <n v="5"/>
    <x v="192"/>
    <n v="0"/>
    <x v="0"/>
    <x v="0"/>
    <x v="1"/>
    <x v="1"/>
  </r>
  <r>
    <s v="TXN-0196"/>
    <x v="133"/>
    <s v="Rizky Lestari"/>
    <x v="127"/>
    <x v="0"/>
    <x v="3"/>
    <x v="2"/>
    <x v="3"/>
    <n v="1"/>
    <x v="193"/>
    <n v="15000"/>
    <x v="1"/>
    <x v="2"/>
    <x v="1"/>
    <x v="0"/>
  </r>
  <r>
    <s v="TXN-0197"/>
    <x v="134"/>
    <s v="Alya Santoso"/>
    <x v="65"/>
    <x v="0"/>
    <x v="0"/>
    <x v="2"/>
    <x v="1"/>
    <n v="4"/>
    <x v="194"/>
    <n v="0"/>
    <x v="0"/>
    <x v="0"/>
    <x v="1"/>
    <x v="1"/>
  </r>
  <r>
    <s v="TXN-0198"/>
    <x v="135"/>
    <s v="Nadia Lestari"/>
    <x v="31"/>
    <x v="0"/>
    <x v="1"/>
    <x v="5"/>
    <x v="3"/>
    <n v="4"/>
    <x v="195"/>
    <n v="35000"/>
    <x v="0"/>
    <x v="0"/>
    <x v="0"/>
    <x v="0"/>
  </r>
  <r>
    <s v="TXN-0199"/>
    <x v="136"/>
    <s v="Maya Pratama"/>
    <x v="55"/>
    <x v="0"/>
    <x v="2"/>
    <x v="0"/>
    <x v="0"/>
    <n v="5"/>
    <x v="196"/>
    <n v="15000"/>
    <x v="0"/>
    <x v="2"/>
    <x v="1"/>
    <x v="0"/>
  </r>
  <r>
    <s v="TXN-0200"/>
    <x v="25"/>
    <s v="Maya Santoso"/>
    <x v="19"/>
    <x v="1"/>
    <x v="2"/>
    <x v="2"/>
    <x v="4"/>
    <n v="5"/>
    <x v="197"/>
    <n v="35000"/>
    <x v="1"/>
    <x v="1"/>
    <x v="1"/>
    <x v="0"/>
  </r>
  <r>
    <s v="TXN-0201"/>
    <x v="86"/>
    <s v="Citra Lestari"/>
    <x v="18"/>
    <x v="4"/>
    <x v="2"/>
    <x v="1"/>
    <x v="0"/>
    <n v="3"/>
    <x v="198"/>
    <n v="35000"/>
    <x v="0"/>
    <x v="0"/>
    <x v="0"/>
    <x v="0"/>
  </r>
  <r>
    <s v="TXN-0202"/>
    <x v="114"/>
    <s v="Citra Wijaya"/>
    <x v="107"/>
    <x v="2"/>
    <x v="3"/>
    <x v="2"/>
    <x v="2"/>
    <n v="4"/>
    <x v="199"/>
    <n v="35000"/>
    <x v="3"/>
    <x v="2"/>
    <x v="1"/>
    <x v="0"/>
  </r>
  <r>
    <s v="TXN-0203"/>
    <x v="116"/>
    <s v="Citra Putri"/>
    <x v="2"/>
    <x v="0"/>
    <x v="2"/>
    <x v="2"/>
    <x v="4"/>
    <n v="3"/>
    <x v="200"/>
    <n v="50000"/>
    <x v="0"/>
    <x v="2"/>
    <x v="1"/>
    <x v="0"/>
  </r>
  <r>
    <s v="TXN-0204"/>
    <x v="137"/>
    <s v="Alya Santoso"/>
    <x v="42"/>
    <x v="0"/>
    <x v="0"/>
    <x v="5"/>
    <x v="4"/>
    <n v="7"/>
    <x v="201"/>
    <n v="50000"/>
    <x v="0"/>
    <x v="0"/>
    <x v="1"/>
    <x v="0"/>
  </r>
  <r>
    <s v="TXN-0205"/>
    <x v="138"/>
    <s v="Fajar Santoso"/>
    <x v="99"/>
    <x v="0"/>
    <x v="2"/>
    <x v="4"/>
    <x v="2"/>
    <n v="4"/>
    <x v="202"/>
    <n v="35000"/>
    <x v="0"/>
    <x v="0"/>
    <x v="0"/>
    <x v="0"/>
  </r>
  <r>
    <s v="TXN-0206"/>
    <x v="35"/>
    <s v="Alya Putri"/>
    <x v="61"/>
    <x v="0"/>
    <x v="2"/>
    <x v="5"/>
    <x v="1"/>
    <n v="4"/>
    <x v="203"/>
    <n v="35000"/>
    <x v="0"/>
    <x v="2"/>
    <x v="0"/>
    <x v="0"/>
  </r>
  <r>
    <s v="TXN-0207"/>
    <x v="105"/>
    <s v="Raka Putri"/>
    <x v="83"/>
    <x v="2"/>
    <x v="2"/>
    <x v="5"/>
    <x v="2"/>
    <n v="5"/>
    <x v="204"/>
    <n v="0"/>
    <x v="0"/>
    <x v="2"/>
    <x v="1"/>
    <x v="1"/>
  </r>
  <r>
    <s v="TXN-0208"/>
    <x v="107"/>
    <s v="Alya Wijaya"/>
    <x v="23"/>
    <x v="2"/>
    <x v="1"/>
    <x v="2"/>
    <x v="2"/>
    <n v="3"/>
    <x v="205"/>
    <n v="35000"/>
    <x v="0"/>
    <x v="0"/>
    <x v="1"/>
    <x v="0"/>
  </r>
  <r>
    <s v="TXN-0209"/>
    <x v="118"/>
    <s v="Raka Pratama"/>
    <x v="33"/>
    <x v="1"/>
    <x v="1"/>
    <x v="5"/>
    <x v="3"/>
    <n v="1"/>
    <x v="206"/>
    <n v="35000"/>
    <x v="0"/>
    <x v="2"/>
    <x v="1"/>
    <x v="0"/>
  </r>
  <r>
    <s v="TXN-0210"/>
    <x v="58"/>
    <s v="Rizky Putri"/>
    <x v="18"/>
    <x v="3"/>
    <x v="1"/>
    <x v="4"/>
    <x v="0"/>
    <n v="1"/>
    <x v="207"/>
    <n v="35000"/>
    <x v="2"/>
    <x v="0"/>
    <x v="1"/>
    <x v="0"/>
  </r>
  <r>
    <s v="TXN-0211"/>
    <x v="4"/>
    <s v="Sari Saputra"/>
    <x v="51"/>
    <x v="0"/>
    <x v="1"/>
    <x v="1"/>
    <x v="1"/>
    <n v="7"/>
    <x v="208"/>
    <n v="0"/>
    <x v="0"/>
    <x v="0"/>
    <x v="0"/>
    <x v="1"/>
  </r>
  <r>
    <s v="TXN-0212"/>
    <x v="29"/>
    <s v="Rizky Permata"/>
    <x v="128"/>
    <x v="4"/>
    <x v="3"/>
    <x v="2"/>
    <x v="0"/>
    <n v="3"/>
    <x v="209"/>
    <n v="0"/>
    <x v="0"/>
    <x v="2"/>
    <x v="0"/>
    <x v="1"/>
  </r>
  <r>
    <s v="TXN-0213"/>
    <x v="139"/>
    <s v="Raka Wijaya"/>
    <x v="129"/>
    <x v="1"/>
    <x v="0"/>
    <x v="1"/>
    <x v="1"/>
    <n v="3"/>
    <x v="210"/>
    <n v="50000"/>
    <x v="0"/>
    <x v="3"/>
    <x v="1"/>
    <x v="0"/>
  </r>
  <r>
    <s v="TXN-0214"/>
    <x v="140"/>
    <s v="Bima Dewi"/>
    <x v="121"/>
    <x v="1"/>
    <x v="1"/>
    <x v="0"/>
    <x v="0"/>
    <n v="1"/>
    <x v="211"/>
    <n v="25000"/>
    <x v="0"/>
    <x v="1"/>
    <x v="0"/>
    <x v="0"/>
  </r>
  <r>
    <s v="TXN-0215"/>
    <x v="141"/>
    <s v="Citra Permata"/>
    <x v="55"/>
    <x v="1"/>
    <x v="2"/>
    <x v="1"/>
    <x v="0"/>
    <n v="3"/>
    <x v="212"/>
    <n v="0"/>
    <x v="0"/>
    <x v="3"/>
    <x v="1"/>
    <x v="1"/>
  </r>
  <r>
    <s v="TXN-0216"/>
    <x v="134"/>
    <s v="Alya Santoso"/>
    <x v="48"/>
    <x v="2"/>
    <x v="3"/>
    <x v="4"/>
    <x v="0"/>
    <n v="2"/>
    <x v="213"/>
    <n v="25000"/>
    <x v="0"/>
    <x v="0"/>
    <x v="0"/>
    <x v="0"/>
  </r>
  <r>
    <s v="TXN-0217"/>
    <x v="55"/>
    <s v="Bima Santoso"/>
    <x v="80"/>
    <x v="2"/>
    <x v="2"/>
    <x v="3"/>
    <x v="3"/>
    <n v="4"/>
    <x v="214"/>
    <n v="15000"/>
    <x v="0"/>
    <x v="2"/>
    <x v="1"/>
    <x v="0"/>
  </r>
  <r>
    <s v="TXN-0218"/>
    <x v="3"/>
    <s v="Dimas Lestari"/>
    <x v="69"/>
    <x v="3"/>
    <x v="1"/>
    <x v="3"/>
    <x v="3"/>
    <n v="7"/>
    <x v="215"/>
    <n v="50000"/>
    <x v="2"/>
    <x v="0"/>
    <x v="0"/>
    <x v="0"/>
  </r>
  <r>
    <s v="TXN-0219"/>
    <x v="142"/>
    <s v="Fajar Lestari"/>
    <x v="126"/>
    <x v="0"/>
    <x v="2"/>
    <x v="1"/>
    <x v="3"/>
    <n v="6"/>
    <x v="216"/>
    <n v="0"/>
    <x v="2"/>
    <x v="3"/>
    <x v="1"/>
    <x v="1"/>
  </r>
  <r>
    <s v="TXN-0220"/>
    <x v="51"/>
    <s v="Bima Wijaya"/>
    <x v="130"/>
    <x v="3"/>
    <x v="1"/>
    <x v="5"/>
    <x v="0"/>
    <n v="7"/>
    <x v="217"/>
    <n v="0"/>
    <x v="0"/>
    <x v="1"/>
    <x v="1"/>
    <x v="1"/>
  </r>
  <r>
    <s v="TXN-0221"/>
    <x v="96"/>
    <s v="Nadia Lestari"/>
    <x v="39"/>
    <x v="1"/>
    <x v="0"/>
    <x v="5"/>
    <x v="0"/>
    <n v="2"/>
    <x v="218"/>
    <n v="15000"/>
    <x v="0"/>
    <x v="0"/>
    <x v="1"/>
    <x v="0"/>
  </r>
  <r>
    <s v="TXN-0222"/>
    <x v="37"/>
    <s v="Raka Wijaya"/>
    <x v="107"/>
    <x v="0"/>
    <x v="0"/>
    <x v="2"/>
    <x v="2"/>
    <n v="3"/>
    <x v="219"/>
    <n v="25000"/>
    <x v="0"/>
    <x v="1"/>
    <x v="0"/>
    <x v="0"/>
  </r>
  <r>
    <s v="TXN-0223"/>
    <x v="93"/>
    <s v="Rizky Santoso"/>
    <x v="131"/>
    <x v="1"/>
    <x v="1"/>
    <x v="2"/>
    <x v="2"/>
    <n v="4"/>
    <x v="220"/>
    <n v="35000"/>
    <x v="0"/>
    <x v="0"/>
    <x v="0"/>
    <x v="0"/>
  </r>
  <r>
    <s v="TXN-0224"/>
    <x v="143"/>
    <s v="Fajar Santoso"/>
    <x v="132"/>
    <x v="4"/>
    <x v="2"/>
    <x v="2"/>
    <x v="3"/>
    <n v="5"/>
    <x v="221"/>
    <n v="50000"/>
    <x v="0"/>
    <x v="0"/>
    <x v="0"/>
    <x v="0"/>
  </r>
  <r>
    <s v="TXN-0225"/>
    <x v="78"/>
    <s v="Alya Wijaya"/>
    <x v="131"/>
    <x v="1"/>
    <x v="1"/>
    <x v="5"/>
    <x v="0"/>
    <n v="4"/>
    <x v="222"/>
    <n v="50000"/>
    <x v="0"/>
    <x v="2"/>
    <x v="1"/>
    <x v="0"/>
  </r>
  <r>
    <s v="TXN-0226"/>
    <x v="45"/>
    <s v="Alya Pratama"/>
    <x v="49"/>
    <x v="4"/>
    <x v="2"/>
    <x v="2"/>
    <x v="3"/>
    <n v="4"/>
    <x v="223"/>
    <n v="35000"/>
    <x v="3"/>
    <x v="1"/>
    <x v="1"/>
    <x v="0"/>
  </r>
  <r>
    <s v="TXN-0227"/>
    <x v="144"/>
    <s v="Bima Santoso"/>
    <x v="133"/>
    <x v="4"/>
    <x v="0"/>
    <x v="1"/>
    <x v="1"/>
    <n v="5"/>
    <x v="224"/>
    <n v="35000"/>
    <x v="0"/>
    <x v="0"/>
    <x v="0"/>
    <x v="0"/>
  </r>
  <r>
    <s v="TXN-0228"/>
    <x v="145"/>
    <s v="Fajar Pratama"/>
    <x v="44"/>
    <x v="4"/>
    <x v="3"/>
    <x v="3"/>
    <x v="0"/>
    <n v="6"/>
    <x v="225"/>
    <n v="35000"/>
    <x v="0"/>
    <x v="0"/>
    <x v="0"/>
    <x v="0"/>
  </r>
  <r>
    <s v="TXN-0229"/>
    <x v="2"/>
    <s v="Citra Putri"/>
    <x v="118"/>
    <x v="0"/>
    <x v="3"/>
    <x v="4"/>
    <x v="2"/>
    <n v="2"/>
    <x v="226"/>
    <n v="25000"/>
    <x v="0"/>
    <x v="1"/>
    <x v="0"/>
    <x v="0"/>
  </r>
  <r>
    <s v="TXN-0230"/>
    <x v="93"/>
    <s v="Rizky Santoso"/>
    <x v="98"/>
    <x v="4"/>
    <x v="2"/>
    <x v="1"/>
    <x v="3"/>
    <n v="2"/>
    <x v="227"/>
    <n v="50000"/>
    <x v="1"/>
    <x v="3"/>
    <x v="0"/>
    <x v="0"/>
  </r>
  <r>
    <s v="TXN-0231"/>
    <x v="146"/>
    <s v="Citra Santoso"/>
    <x v="36"/>
    <x v="0"/>
    <x v="2"/>
    <x v="3"/>
    <x v="3"/>
    <n v="7"/>
    <x v="228"/>
    <n v="50000"/>
    <x v="1"/>
    <x v="0"/>
    <x v="1"/>
    <x v="2"/>
  </r>
  <r>
    <s v="TXN-0232"/>
    <x v="133"/>
    <s v="Rizky Lestari"/>
    <x v="24"/>
    <x v="1"/>
    <x v="0"/>
    <x v="3"/>
    <x v="1"/>
    <n v="1"/>
    <x v="229"/>
    <n v="0"/>
    <x v="0"/>
    <x v="0"/>
    <x v="1"/>
    <x v="1"/>
  </r>
  <r>
    <s v="TXN-0233"/>
    <x v="129"/>
    <s v="Raka Wijaya"/>
    <x v="90"/>
    <x v="3"/>
    <x v="2"/>
    <x v="1"/>
    <x v="0"/>
    <n v="2"/>
    <x v="230"/>
    <n v="15000"/>
    <x v="0"/>
    <x v="0"/>
    <x v="1"/>
    <x v="0"/>
  </r>
  <r>
    <s v="TXN-0234"/>
    <x v="58"/>
    <s v="Rizky Putri"/>
    <x v="134"/>
    <x v="2"/>
    <x v="3"/>
    <x v="3"/>
    <x v="0"/>
    <n v="3"/>
    <x v="231"/>
    <n v="15000"/>
    <x v="2"/>
    <x v="3"/>
    <x v="1"/>
    <x v="0"/>
  </r>
  <r>
    <s v="TXN-0235"/>
    <x v="90"/>
    <s v="Nadia Permata"/>
    <x v="132"/>
    <x v="0"/>
    <x v="2"/>
    <x v="2"/>
    <x v="2"/>
    <n v="3"/>
    <x v="232"/>
    <n v="0"/>
    <x v="0"/>
    <x v="2"/>
    <x v="1"/>
    <x v="1"/>
  </r>
  <r>
    <s v="TXN-0236"/>
    <x v="115"/>
    <s v="Alya Dewi"/>
    <x v="135"/>
    <x v="3"/>
    <x v="2"/>
    <x v="1"/>
    <x v="4"/>
    <n v="7"/>
    <x v="233"/>
    <n v="50000"/>
    <x v="2"/>
    <x v="3"/>
    <x v="0"/>
    <x v="0"/>
  </r>
  <r>
    <s v="TXN-0237"/>
    <x v="147"/>
    <s v="Alya Saputra"/>
    <x v="81"/>
    <x v="4"/>
    <x v="0"/>
    <x v="5"/>
    <x v="3"/>
    <n v="5"/>
    <x v="234"/>
    <n v="25000"/>
    <x v="0"/>
    <x v="0"/>
    <x v="0"/>
    <x v="0"/>
  </r>
  <r>
    <s v="TXN-0238"/>
    <x v="148"/>
    <s v="Bima Santoso"/>
    <x v="0"/>
    <x v="1"/>
    <x v="2"/>
    <x v="3"/>
    <x v="0"/>
    <n v="7"/>
    <x v="235"/>
    <n v="25000"/>
    <x v="0"/>
    <x v="2"/>
    <x v="1"/>
    <x v="0"/>
  </r>
  <r>
    <s v="TXN-0239"/>
    <x v="2"/>
    <s v="Citra Putri"/>
    <x v="136"/>
    <x v="1"/>
    <x v="2"/>
    <x v="1"/>
    <x v="1"/>
    <n v="6"/>
    <x v="236"/>
    <n v="25000"/>
    <x v="0"/>
    <x v="2"/>
    <x v="1"/>
    <x v="0"/>
  </r>
  <r>
    <s v="TXN-0240"/>
    <x v="149"/>
    <s v="Maya Putri"/>
    <x v="59"/>
    <x v="4"/>
    <x v="2"/>
    <x v="5"/>
    <x v="4"/>
    <n v="6"/>
    <x v="237"/>
    <n v="0"/>
    <x v="0"/>
    <x v="2"/>
    <x v="0"/>
    <x v="1"/>
  </r>
  <r>
    <s v="TXN-0241"/>
    <x v="150"/>
    <s v="Alya Pratama"/>
    <x v="0"/>
    <x v="1"/>
    <x v="3"/>
    <x v="3"/>
    <x v="1"/>
    <n v="4"/>
    <x v="238"/>
    <n v="25000"/>
    <x v="3"/>
    <x v="1"/>
    <x v="0"/>
    <x v="0"/>
  </r>
  <r>
    <s v="TXN-0242"/>
    <x v="151"/>
    <s v="Dimas Putri"/>
    <x v="137"/>
    <x v="1"/>
    <x v="3"/>
    <x v="0"/>
    <x v="4"/>
    <n v="5"/>
    <x v="239"/>
    <n v="50000"/>
    <x v="1"/>
    <x v="2"/>
    <x v="0"/>
    <x v="0"/>
  </r>
  <r>
    <s v="TXN-0243"/>
    <x v="133"/>
    <s v="Rizky Lestari"/>
    <x v="19"/>
    <x v="0"/>
    <x v="3"/>
    <x v="4"/>
    <x v="1"/>
    <n v="6"/>
    <x v="240"/>
    <n v="35000"/>
    <x v="0"/>
    <x v="2"/>
    <x v="1"/>
    <x v="0"/>
  </r>
  <r>
    <s v="TXN-0244"/>
    <x v="152"/>
    <s v="Fajar Permata"/>
    <x v="138"/>
    <x v="3"/>
    <x v="1"/>
    <x v="1"/>
    <x v="1"/>
    <n v="2"/>
    <x v="241"/>
    <n v="25000"/>
    <x v="0"/>
    <x v="0"/>
    <x v="1"/>
    <x v="0"/>
  </r>
  <r>
    <s v="TXN-0245"/>
    <x v="124"/>
    <s v="Nadia Pratama"/>
    <x v="36"/>
    <x v="4"/>
    <x v="2"/>
    <x v="3"/>
    <x v="1"/>
    <n v="5"/>
    <x v="242"/>
    <n v="15000"/>
    <x v="0"/>
    <x v="0"/>
    <x v="0"/>
    <x v="2"/>
  </r>
  <r>
    <s v="TXN-0246"/>
    <x v="153"/>
    <s v="Fajar Santoso"/>
    <x v="128"/>
    <x v="4"/>
    <x v="1"/>
    <x v="3"/>
    <x v="2"/>
    <n v="1"/>
    <x v="243"/>
    <n v="25000"/>
    <x v="0"/>
    <x v="2"/>
    <x v="0"/>
    <x v="0"/>
  </r>
  <r>
    <s v="TXN-0247"/>
    <x v="1"/>
    <s v="Rizky Permata"/>
    <x v="139"/>
    <x v="2"/>
    <x v="1"/>
    <x v="2"/>
    <x v="1"/>
    <n v="6"/>
    <x v="244"/>
    <n v="50000"/>
    <x v="0"/>
    <x v="2"/>
    <x v="0"/>
    <x v="0"/>
  </r>
  <r>
    <s v="TXN-0248"/>
    <x v="154"/>
    <s v="Citra Santoso"/>
    <x v="84"/>
    <x v="1"/>
    <x v="3"/>
    <x v="1"/>
    <x v="1"/>
    <n v="6"/>
    <x v="245"/>
    <n v="50000"/>
    <x v="0"/>
    <x v="2"/>
    <x v="0"/>
    <x v="0"/>
  </r>
  <r>
    <s v="TXN-0249"/>
    <x v="23"/>
    <s v="Dimas Permata"/>
    <x v="80"/>
    <x v="0"/>
    <x v="3"/>
    <x v="1"/>
    <x v="3"/>
    <n v="6"/>
    <x v="246"/>
    <n v="35000"/>
    <x v="0"/>
    <x v="0"/>
    <x v="0"/>
    <x v="0"/>
  </r>
  <r>
    <s v="TXN-0250"/>
    <x v="155"/>
    <s v="Rizky Wijaya"/>
    <x v="33"/>
    <x v="0"/>
    <x v="2"/>
    <x v="0"/>
    <x v="1"/>
    <n v="7"/>
    <x v="247"/>
    <n v="25000"/>
    <x v="0"/>
    <x v="0"/>
    <x v="1"/>
    <x v="0"/>
  </r>
  <r>
    <s v="TXN-0251"/>
    <x v="50"/>
    <s v="Raka Lestari"/>
    <x v="67"/>
    <x v="3"/>
    <x v="1"/>
    <x v="2"/>
    <x v="1"/>
    <n v="7"/>
    <x v="248"/>
    <n v="15000"/>
    <x v="0"/>
    <x v="3"/>
    <x v="0"/>
    <x v="0"/>
  </r>
  <r>
    <s v="TXN-0252"/>
    <x v="156"/>
    <s v="Nadia Putri"/>
    <x v="140"/>
    <x v="1"/>
    <x v="0"/>
    <x v="2"/>
    <x v="1"/>
    <n v="5"/>
    <x v="249"/>
    <n v="0"/>
    <x v="0"/>
    <x v="0"/>
    <x v="1"/>
    <x v="1"/>
  </r>
  <r>
    <s v="TXN-0253"/>
    <x v="157"/>
    <s v="Maya Permata"/>
    <x v="73"/>
    <x v="2"/>
    <x v="3"/>
    <x v="3"/>
    <x v="3"/>
    <n v="6"/>
    <x v="250"/>
    <n v="15000"/>
    <x v="1"/>
    <x v="0"/>
    <x v="0"/>
    <x v="0"/>
  </r>
  <r>
    <s v="TXN-0254"/>
    <x v="158"/>
    <s v="Bima Putri"/>
    <x v="83"/>
    <x v="0"/>
    <x v="1"/>
    <x v="3"/>
    <x v="0"/>
    <n v="6"/>
    <x v="251"/>
    <n v="35000"/>
    <x v="0"/>
    <x v="3"/>
    <x v="1"/>
    <x v="0"/>
  </r>
  <r>
    <s v="TXN-0255"/>
    <x v="159"/>
    <s v="Citra Lestari"/>
    <x v="15"/>
    <x v="3"/>
    <x v="3"/>
    <x v="0"/>
    <x v="1"/>
    <n v="4"/>
    <x v="252"/>
    <n v="15000"/>
    <x v="2"/>
    <x v="1"/>
    <x v="1"/>
    <x v="0"/>
  </r>
  <r>
    <s v="TXN-0256"/>
    <x v="75"/>
    <s v="Citra Dewi"/>
    <x v="32"/>
    <x v="1"/>
    <x v="1"/>
    <x v="4"/>
    <x v="2"/>
    <n v="5"/>
    <x v="253"/>
    <n v="25000"/>
    <x v="0"/>
    <x v="2"/>
    <x v="1"/>
    <x v="0"/>
  </r>
  <r>
    <s v="TXN-0257"/>
    <x v="93"/>
    <s v="Rizky Santoso"/>
    <x v="24"/>
    <x v="3"/>
    <x v="2"/>
    <x v="3"/>
    <x v="1"/>
    <n v="2"/>
    <x v="254"/>
    <n v="50000"/>
    <x v="0"/>
    <x v="0"/>
    <x v="0"/>
    <x v="0"/>
  </r>
  <r>
    <s v="TXN-0258"/>
    <x v="98"/>
    <s v="Sari Putri"/>
    <x v="124"/>
    <x v="1"/>
    <x v="1"/>
    <x v="4"/>
    <x v="4"/>
    <n v="1"/>
    <x v="255"/>
    <n v="25000"/>
    <x v="0"/>
    <x v="2"/>
    <x v="0"/>
    <x v="0"/>
  </r>
  <r>
    <s v="TXN-0259"/>
    <x v="11"/>
    <s v="Fajar Dewi"/>
    <x v="60"/>
    <x v="1"/>
    <x v="0"/>
    <x v="1"/>
    <x v="0"/>
    <n v="2"/>
    <x v="256"/>
    <n v="50000"/>
    <x v="0"/>
    <x v="1"/>
    <x v="1"/>
    <x v="0"/>
  </r>
  <r>
    <s v="TXN-0260"/>
    <x v="160"/>
    <s v="Sari Putri"/>
    <x v="129"/>
    <x v="2"/>
    <x v="2"/>
    <x v="4"/>
    <x v="4"/>
    <n v="4"/>
    <x v="257"/>
    <n v="15000"/>
    <x v="1"/>
    <x v="3"/>
    <x v="1"/>
    <x v="0"/>
  </r>
  <r>
    <s v="TXN-0261"/>
    <x v="146"/>
    <s v="Citra Santoso"/>
    <x v="22"/>
    <x v="2"/>
    <x v="2"/>
    <x v="0"/>
    <x v="2"/>
    <n v="7"/>
    <x v="59"/>
    <n v="15000"/>
    <x v="0"/>
    <x v="2"/>
    <x v="1"/>
    <x v="3"/>
  </r>
  <r>
    <s v="TXN-0262"/>
    <x v="1"/>
    <s v="Rizky Permata"/>
    <x v="15"/>
    <x v="3"/>
    <x v="3"/>
    <x v="4"/>
    <x v="4"/>
    <n v="1"/>
    <x v="258"/>
    <n v="15000"/>
    <x v="0"/>
    <x v="3"/>
    <x v="0"/>
    <x v="0"/>
  </r>
  <r>
    <s v="TXN-0263"/>
    <x v="60"/>
    <s v="Maya Putri"/>
    <x v="17"/>
    <x v="2"/>
    <x v="0"/>
    <x v="3"/>
    <x v="4"/>
    <n v="6"/>
    <x v="259"/>
    <n v="35000"/>
    <x v="0"/>
    <x v="2"/>
    <x v="0"/>
    <x v="0"/>
  </r>
  <r>
    <s v="TXN-0264"/>
    <x v="100"/>
    <s v="Fajar Santoso"/>
    <x v="15"/>
    <x v="2"/>
    <x v="1"/>
    <x v="3"/>
    <x v="2"/>
    <n v="5"/>
    <x v="260"/>
    <n v="25000"/>
    <x v="3"/>
    <x v="4"/>
    <x v="1"/>
    <x v="5"/>
  </r>
  <r>
    <s v="TXN-0265"/>
    <x v="161"/>
    <s v="Rizky Dewi"/>
    <x v="133"/>
    <x v="2"/>
    <x v="1"/>
    <x v="1"/>
    <x v="3"/>
    <n v="3"/>
    <x v="261"/>
    <n v="15000"/>
    <x v="1"/>
    <x v="0"/>
    <x v="0"/>
    <x v="0"/>
  </r>
  <r>
    <s v="TXN-0266"/>
    <x v="1"/>
    <s v="Rizky Permata"/>
    <x v="96"/>
    <x v="0"/>
    <x v="2"/>
    <x v="2"/>
    <x v="2"/>
    <n v="5"/>
    <x v="262"/>
    <n v="0"/>
    <x v="0"/>
    <x v="0"/>
    <x v="0"/>
    <x v="1"/>
  </r>
  <r>
    <s v="TXN-0267"/>
    <x v="107"/>
    <s v="Alya Wijaya"/>
    <x v="56"/>
    <x v="0"/>
    <x v="0"/>
    <x v="1"/>
    <x v="4"/>
    <n v="2"/>
    <x v="263"/>
    <n v="50000"/>
    <x v="0"/>
    <x v="0"/>
    <x v="1"/>
    <x v="0"/>
  </r>
  <r>
    <s v="TXN-0268"/>
    <x v="102"/>
    <s v="Bima Dewi"/>
    <x v="30"/>
    <x v="3"/>
    <x v="0"/>
    <x v="4"/>
    <x v="4"/>
    <n v="4"/>
    <x v="264"/>
    <n v="35000"/>
    <x v="0"/>
    <x v="0"/>
    <x v="1"/>
    <x v="0"/>
  </r>
  <r>
    <s v="TXN-0269"/>
    <x v="44"/>
    <s v="Rizky Dewi"/>
    <x v="94"/>
    <x v="4"/>
    <x v="0"/>
    <x v="5"/>
    <x v="0"/>
    <n v="3"/>
    <x v="265"/>
    <n v="0"/>
    <x v="0"/>
    <x v="0"/>
    <x v="0"/>
    <x v="1"/>
  </r>
  <r>
    <s v="TXN-0270"/>
    <x v="162"/>
    <s v="Bima Wijaya"/>
    <x v="141"/>
    <x v="2"/>
    <x v="0"/>
    <x v="1"/>
    <x v="1"/>
    <n v="4"/>
    <x v="266"/>
    <n v="15000"/>
    <x v="2"/>
    <x v="0"/>
    <x v="1"/>
    <x v="0"/>
  </r>
  <r>
    <s v="TXN-0271"/>
    <x v="157"/>
    <s v="Maya Permata"/>
    <x v="142"/>
    <x v="0"/>
    <x v="0"/>
    <x v="2"/>
    <x v="0"/>
    <n v="3"/>
    <x v="267"/>
    <n v="50000"/>
    <x v="0"/>
    <x v="3"/>
    <x v="0"/>
    <x v="0"/>
  </r>
  <r>
    <s v="TXN-0272"/>
    <x v="153"/>
    <s v="Fajar Santoso"/>
    <x v="109"/>
    <x v="4"/>
    <x v="3"/>
    <x v="3"/>
    <x v="4"/>
    <n v="5"/>
    <x v="268"/>
    <n v="50000"/>
    <x v="1"/>
    <x v="3"/>
    <x v="1"/>
    <x v="0"/>
  </r>
  <r>
    <s v="TXN-0273"/>
    <x v="120"/>
    <s v="Citra Permata"/>
    <x v="113"/>
    <x v="4"/>
    <x v="1"/>
    <x v="3"/>
    <x v="4"/>
    <n v="5"/>
    <x v="269"/>
    <n v="35000"/>
    <x v="0"/>
    <x v="2"/>
    <x v="0"/>
    <x v="0"/>
  </r>
  <r>
    <s v="TXN-0274"/>
    <x v="6"/>
    <s v="Nadia Lestari"/>
    <x v="5"/>
    <x v="1"/>
    <x v="1"/>
    <x v="0"/>
    <x v="2"/>
    <n v="3"/>
    <x v="270"/>
    <n v="35000"/>
    <x v="1"/>
    <x v="0"/>
    <x v="0"/>
    <x v="0"/>
  </r>
  <r>
    <s v="TXN-0275"/>
    <x v="144"/>
    <s v="Bima Santoso"/>
    <x v="139"/>
    <x v="0"/>
    <x v="3"/>
    <x v="4"/>
    <x v="3"/>
    <n v="1"/>
    <x v="271"/>
    <n v="0"/>
    <x v="0"/>
    <x v="1"/>
    <x v="0"/>
    <x v="1"/>
  </r>
  <r>
    <s v="TXN-0276"/>
    <x v="153"/>
    <s v="Fajar Santoso"/>
    <x v="143"/>
    <x v="2"/>
    <x v="3"/>
    <x v="2"/>
    <x v="2"/>
    <n v="6"/>
    <x v="272"/>
    <n v="50000"/>
    <x v="0"/>
    <x v="0"/>
    <x v="1"/>
    <x v="0"/>
  </r>
  <r>
    <s v="TXN-0277"/>
    <x v="163"/>
    <s v="Dimas Santoso"/>
    <x v="144"/>
    <x v="2"/>
    <x v="3"/>
    <x v="1"/>
    <x v="1"/>
    <n v="6"/>
    <x v="273"/>
    <n v="50000"/>
    <x v="0"/>
    <x v="1"/>
    <x v="1"/>
    <x v="0"/>
  </r>
  <r>
    <s v="TXN-0278"/>
    <x v="164"/>
    <s v="Alya Dewi"/>
    <x v="36"/>
    <x v="4"/>
    <x v="3"/>
    <x v="2"/>
    <x v="1"/>
    <n v="1"/>
    <x v="274"/>
    <n v="15000"/>
    <x v="0"/>
    <x v="2"/>
    <x v="0"/>
    <x v="2"/>
  </r>
  <r>
    <s v="TXN-0279"/>
    <x v="133"/>
    <s v="Rizky Lestari"/>
    <x v="90"/>
    <x v="3"/>
    <x v="0"/>
    <x v="0"/>
    <x v="1"/>
    <n v="6"/>
    <x v="275"/>
    <n v="25000"/>
    <x v="0"/>
    <x v="0"/>
    <x v="0"/>
    <x v="0"/>
  </r>
  <r>
    <s v="TXN-0280"/>
    <x v="28"/>
    <s v="Citra Dewi"/>
    <x v="92"/>
    <x v="2"/>
    <x v="3"/>
    <x v="2"/>
    <x v="4"/>
    <n v="4"/>
    <x v="276"/>
    <n v="50000"/>
    <x v="0"/>
    <x v="2"/>
    <x v="0"/>
    <x v="0"/>
  </r>
  <r>
    <s v="TXN-0281"/>
    <x v="126"/>
    <s v="Alya Santoso"/>
    <x v="72"/>
    <x v="3"/>
    <x v="0"/>
    <x v="3"/>
    <x v="0"/>
    <n v="4"/>
    <x v="277"/>
    <n v="50000"/>
    <x v="0"/>
    <x v="0"/>
    <x v="0"/>
    <x v="0"/>
  </r>
  <r>
    <s v="TXN-0282"/>
    <x v="165"/>
    <s v="Rizky Pratama"/>
    <x v="143"/>
    <x v="0"/>
    <x v="2"/>
    <x v="4"/>
    <x v="1"/>
    <n v="4"/>
    <x v="278"/>
    <n v="35000"/>
    <x v="0"/>
    <x v="0"/>
    <x v="1"/>
    <x v="0"/>
  </r>
  <r>
    <s v="TXN-0283"/>
    <x v="166"/>
    <s v="Rizky Putri"/>
    <x v="140"/>
    <x v="1"/>
    <x v="1"/>
    <x v="1"/>
    <x v="3"/>
    <n v="4"/>
    <x v="279"/>
    <n v="15000"/>
    <x v="0"/>
    <x v="2"/>
    <x v="1"/>
    <x v="0"/>
  </r>
  <r>
    <s v="TXN-0284"/>
    <x v="167"/>
    <s v="Raka Dewi"/>
    <x v="140"/>
    <x v="4"/>
    <x v="1"/>
    <x v="4"/>
    <x v="0"/>
    <n v="2"/>
    <x v="280"/>
    <n v="15000"/>
    <x v="0"/>
    <x v="0"/>
    <x v="0"/>
    <x v="0"/>
  </r>
  <r>
    <s v="TXN-0285"/>
    <x v="88"/>
    <s v="Maya Saputra"/>
    <x v="61"/>
    <x v="0"/>
    <x v="2"/>
    <x v="3"/>
    <x v="3"/>
    <n v="6"/>
    <x v="281"/>
    <n v="35000"/>
    <x v="0"/>
    <x v="2"/>
    <x v="1"/>
    <x v="0"/>
  </r>
  <r>
    <s v="TXN-0286"/>
    <x v="102"/>
    <s v="Bima Dewi"/>
    <x v="24"/>
    <x v="1"/>
    <x v="2"/>
    <x v="5"/>
    <x v="2"/>
    <n v="7"/>
    <x v="282"/>
    <n v="35000"/>
    <x v="0"/>
    <x v="2"/>
    <x v="1"/>
    <x v="0"/>
  </r>
  <r>
    <s v="TXN-0287"/>
    <x v="108"/>
    <s v="Maya Permata"/>
    <x v="48"/>
    <x v="0"/>
    <x v="3"/>
    <x v="3"/>
    <x v="3"/>
    <n v="3"/>
    <x v="283"/>
    <n v="15000"/>
    <x v="0"/>
    <x v="0"/>
    <x v="0"/>
    <x v="0"/>
  </r>
  <r>
    <s v="TXN-0288"/>
    <x v="168"/>
    <s v="Fajar Santoso"/>
    <x v="143"/>
    <x v="1"/>
    <x v="1"/>
    <x v="1"/>
    <x v="0"/>
    <n v="3"/>
    <x v="284"/>
    <n v="35000"/>
    <x v="0"/>
    <x v="2"/>
    <x v="1"/>
    <x v="0"/>
  </r>
  <r>
    <s v="TXN-0289"/>
    <x v="114"/>
    <s v="Citra Wijaya"/>
    <x v="145"/>
    <x v="0"/>
    <x v="2"/>
    <x v="3"/>
    <x v="2"/>
    <n v="6"/>
    <x v="285"/>
    <n v="25000"/>
    <x v="0"/>
    <x v="3"/>
    <x v="1"/>
    <x v="0"/>
  </r>
  <r>
    <s v="TXN-0290"/>
    <x v="79"/>
    <s v="Rizky Wijaya"/>
    <x v="39"/>
    <x v="0"/>
    <x v="1"/>
    <x v="2"/>
    <x v="2"/>
    <n v="1"/>
    <x v="286"/>
    <n v="15000"/>
    <x v="0"/>
    <x v="2"/>
    <x v="1"/>
    <x v="0"/>
  </r>
  <r>
    <s v="TXN-0291"/>
    <x v="169"/>
    <s v="Nadia Lestari"/>
    <x v="10"/>
    <x v="0"/>
    <x v="1"/>
    <x v="0"/>
    <x v="1"/>
    <m/>
    <x v="287"/>
    <n v="35000"/>
    <x v="0"/>
    <x v="0"/>
    <x v="0"/>
    <x v="6"/>
  </r>
  <r>
    <s v="TXN-0292"/>
    <x v="115"/>
    <s v="Alya Dewi"/>
    <x v="41"/>
    <x v="4"/>
    <x v="2"/>
    <x v="5"/>
    <x v="3"/>
    <n v="3"/>
    <x v="288"/>
    <n v="0"/>
    <x v="0"/>
    <x v="0"/>
    <x v="1"/>
    <x v="1"/>
  </r>
  <r>
    <s v="TXN-0293"/>
    <x v="72"/>
    <s v="Citra Putri"/>
    <x v="4"/>
    <x v="1"/>
    <x v="0"/>
    <x v="1"/>
    <x v="2"/>
    <n v="6"/>
    <x v="289"/>
    <n v="0"/>
    <x v="0"/>
    <x v="2"/>
    <x v="0"/>
    <x v="1"/>
  </r>
  <r>
    <s v="TXN-0294"/>
    <x v="39"/>
    <s v="Rizky Wijaya"/>
    <x v="146"/>
    <x v="3"/>
    <x v="1"/>
    <x v="0"/>
    <x v="3"/>
    <n v="3"/>
    <x v="290"/>
    <n v="25000"/>
    <x v="0"/>
    <x v="2"/>
    <x v="0"/>
    <x v="0"/>
  </r>
  <r>
    <s v="TXN-0295"/>
    <x v="36"/>
    <s v="Fajar Pratama"/>
    <x v="147"/>
    <x v="2"/>
    <x v="2"/>
    <x v="4"/>
    <x v="2"/>
    <n v="3"/>
    <x v="291"/>
    <n v="50000"/>
    <x v="0"/>
    <x v="2"/>
    <x v="1"/>
    <x v="0"/>
  </r>
  <r>
    <s v="TXN-0296"/>
    <x v="98"/>
    <s v="Sari Putri"/>
    <x v="54"/>
    <x v="0"/>
    <x v="2"/>
    <x v="4"/>
    <x v="2"/>
    <n v="5"/>
    <x v="292"/>
    <n v="0"/>
    <x v="2"/>
    <x v="1"/>
    <x v="0"/>
    <x v="1"/>
  </r>
  <r>
    <s v="TXN-0297"/>
    <x v="76"/>
    <s v="Maya Pratama"/>
    <x v="117"/>
    <x v="1"/>
    <x v="0"/>
    <x v="1"/>
    <x v="3"/>
    <n v="6"/>
    <x v="293"/>
    <n v="50000"/>
    <x v="0"/>
    <x v="2"/>
    <x v="0"/>
    <x v="0"/>
  </r>
  <r>
    <s v="TXN-0298"/>
    <x v="18"/>
    <s v="Alya Saputra"/>
    <x v="130"/>
    <x v="2"/>
    <x v="3"/>
    <x v="5"/>
    <x v="4"/>
    <n v="1"/>
    <x v="294"/>
    <n v="35000"/>
    <x v="0"/>
    <x v="0"/>
    <x v="0"/>
    <x v="0"/>
  </r>
  <r>
    <s v="TXN-0299"/>
    <x v="145"/>
    <s v="Fajar Pratama"/>
    <x v="31"/>
    <x v="0"/>
    <x v="2"/>
    <x v="2"/>
    <x v="4"/>
    <n v="5"/>
    <x v="295"/>
    <n v="0"/>
    <x v="0"/>
    <x v="1"/>
    <x v="1"/>
    <x v="1"/>
  </r>
  <r>
    <s v="TXN-0300"/>
    <x v="16"/>
    <s v="Maya Permata"/>
    <x v="148"/>
    <x v="4"/>
    <x v="1"/>
    <x v="5"/>
    <x v="2"/>
    <n v="5"/>
    <x v="296"/>
    <n v="35000"/>
    <x v="0"/>
    <x v="0"/>
    <x v="1"/>
    <x v="0"/>
  </r>
  <r>
    <s v="TXN-0301"/>
    <x v="170"/>
    <s v="Bima Permata"/>
    <x v="149"/>
    <x v="4"/>
    <x v="0"/>
    <x v="5"/>
    <x v="3"/>
    <n v="4"/>
    <x v="297"/>
    <n v="50000"/>
    <x v="0"/>
    <x v="0"/>
    <x v="0"/>
    <x v="0"/>
  </r>
  <r>
    <s v="TXN-0302"/>
    <x v="27"/>
    <s v="Rizky Lestari"/>
    <x v="32"/>
    <x v="0"/>
    <x v="0"/>
    <x v="5"/>
    <x v="3"/>
    <n v="1"/>
    <x v="298"/>
    <n v="15000"/>
    <x v="0"/>
    <x v="2"/>
    <x v="1"/>
    <x v="0"/>
  </r>
  <r>
    <s v="TXN-0303"/>
    <x v="171"/>
    <s v="Dimas Permata"/>
    <x v="111"/>
    <x v="2"/>
    <x v="0"/>
    <x v="0"/>
    <x v="2"/>
    <n v="1"/>
    <x v="299"/>
    <n v="50000"/>
    <x v="0"/>
    <x v="2"/>
    <x v="0"/>
    <x v="0"/>
  </r>
  <r>
    <s v="TXN-0304"/>
    <x v="132"/>
    <s v="Alya Dewi"/>
    <x v="61"/>
    <x v="3"/>
    <x v="0"/>
    <x v="5"/>
    <x v="3"/>
    <n v="3"/>
    <x v="300"/>
    <n v="50000"/>
    <x v="0"/>
    <x v="2"/>
    <x v="1"/>
    <x v="0"/>
  </r>
  <r>
    <s v="TXN-0305"/>
    <x v="130"/>
    <s v="Citra Putri"/>
    <x v="150"/>
    <x v="4"/>
    <x v="1"/>
    <x v="2"/>
    <x v="0"/>
    <n v="1"/>
    <x v="301"/>
    <n v="50000"/>
    <x v="0"/>
    <x v="0"/>
    <x v="0"/>
    <x v="0"/>
  </r>
  <r>
    <s v="TXN-0306"/>
    <x v="87"/>
    <s v="Fajar Saputra"/>
    <x v="126"/>
    <x v="4"/>
    <x v="1"/>
    <x v="2"/>
    <x v="2"/>
    <n v="4"/>
    <x v="302"/>
    <n v="15000"/>
    <x v="0"/>
    <x v="0"/>
    <x v="0"/>
    <x v="0"/>
  </r>
  <r>
    <s v="TXN-0307"/>
    <x v="72"/>
    <s v="Citra Putri"/>
    <x v="5"/>
    <x v="0"/>
    <x v="0"/>
    <x v="4"/>
    <x v="3"/>
    <n v="2"/>
    <x v="303"/>
    <n v="15000"/>
    <x v="0"/>
    <x v="1"/>
    <x v="1"/>
    <x v="0"/>
  </r>
  <r>
    <s v="TXN-0308"/>
    <x v="116"/>
    <s v="Citra Putri"/>
    <x v="107"/>
    <x v="0"/>
    <x v="2"/>
    <x v="3"/>
    <x v="1"/>
    <n v="2"/>
    <x v="304"/>
    <n v="50000"/>
    <x v="0"/>
    <x v="2"/>
    <x v="1"/>
    <x v="0"/>
  </r>
  <r>
    <s v="TXN-0309"/>
    <x v="41"/>
    <s v="Sari Santoso"/>
    <x v="64"/>
    <x v="3"/>
    <x v="3"/>
    <x v="3"/>
    <x v="2"/>
    <n v="5"/>
    <x v="305"/>
    <n v="0"/>
    <x v="0"/>
    <x v="0"/>
    <x v="1"/>
    <x v="1"/>
  </r>
  <r>
    <s v="TXN-0310"/>
    <x v="114"/>
    <s v="Citra Wijaya"/>
    <x v="132"/>
    <x v="3"/>
    <x v="3"/>
    <x v="1"/>
    <x v="3"/>
    <n v="6"/>
    <x v="306"/>
    <n v="15000"/>
    <x v="0"/>
    <x v="3"/>
    <x v="1"/>
    <x v="0"/>
  </r>
  <r>
    <s v="TXN-0311"/>
    <x v="58"/>
    <s v="Rizky Putri"/>
    <x v="125"/>
    <x v="0"/>
    <x v="3"/>
    <x v="1"/>
    <x v="3"/>
    <n v="4"/>
    <x v="307"/>
    <n v="50000"/>
    <x v="1"/>
    <x v="3"/>
    <x v="1"/>
    <x v="0"/>
  </r>
  <r>
    <s v="TXN-0312"/>
    <x v="172"/>
    <s v="Sari Saputra"/>
    <x v="45"/>
    <x v="1"/>
    <x v="1"/>
    <x v="4"/>
    <x v="0"/>
    <n v="3"/>
    <x v="308"/>
    <n v="50000"/>
    <x v="0"/>
    <x v="3"/>
    <x v="1"/>
    <x v="0"/>
  </r>
  <r>
    <s v="TXN-0313"/>
    <x v="173"/>
    <s v="Raka Wijaya"/>
    <x v="20"/>
    <x v="1"/>
    <x v="3"/>
    <x v="2"/>
    <x v="0"/>
    <n v="3"/>
    <x v="309"/>
    <n v="15000"/>
    <x v="0"/>
    <x v="2"/>
    <x v="1"/>
    <x v="0"/>
  </r>
  <r>
    <s v="TXN-0314"/>
    <x v="174"/>
    <s v="Citra Wijaya"/>
    <x v="127"/>
    <x v="3"/>
    <x v="3"/>
    <x v="1"/>
    <x v="0"/>
    <n v="1"/>
    <x v="310"/>
    <n v="25000"/>
    <x v="0"/>
    <x v="2"/>
    <x v="1"/>
    <x v="0"/>
  </r>
  <r>
    <s v="TXN-0315"/>
    <x v="143"/>
    <s v="Fajar Santoso"/>
    <x v="151"/>
    <x v="4"/>
    <x v="0"/>
    <x v="0"/>
    <x v="2"/>
    <n v="2"/>
    <x v="311"/>
    <n v="50000"/>
    <x v="0"/>
    <x v="2"/>
    <x v="0"/>
    <x v="0"/>
  </r>
  <r>
    <s v="TXN-0316"/>
    <x v="175"/>
    <s v="Dimas Saputra"/>
    <x v="40"/>
    <x v="3"/>
    <x v="1"/>
    <x v="3"/>
    <x v="0"/>
    <n v="7"/>
    <x v="312"/>
    <n v="25000"/>
    <x v="3"/>
    <x v="3"/>
    <x v="0"/>
    <x v="0"/>
  </r>
  <r>
    <s v="TXN-0317"/>
    <x v="23"/>
    <s v="Dimas Permata"/>
    <x v="43"/>
    <x v="4"/>
    <x v="1"/>
    <x v="4"/>
    <x v="3"/>
    <n v="7"/>
    <x v="313"/>
    <n v="35000"/>
    <x v="0"/>
    <x v="0"/>
    <x v="1"/>
    <x v="0"/>
  </r>
  <r>
    <s v="TXN-0318"/>
    <x v="72"/>
    <s v="Citra Putri"/>
    <x v="152"/>
    <x v="1"/>
    <x v="0"/>
    <x v="5"/>
    <x v="0"/>
    <n v="4"/>
    <x v="314"/>
    <n v="25000"/>
    <x v="0"/>
    <x v="0"/>
    <x v="0"/>
    <x v="0"/>
  </r>
  <r>
    <s v="TXN-0319"/>
    <x v="102"/>
    <s v="Bima Dewi"/>
    <x v="94"/>
    <x v="0"/>
    <x v="2"/>
    <x v="4"/>
    <x v="4"/>
    <n v="5"/>
    <x v="315"/>
    <n v="50000"/>
    <x v="0"/>
    <x v="0"/>
    <x v="0"/>
    <x v="0"/>
  </r>
  <r>
    <s v="TXN-0320"/>
    <x v="176"/>
    <s v="Nadia Putri"/>
    <x v="15"/>
    <x v="3"/>
    <x v="0"/>
    <x v="1"/>
    <x v="1"/>
    <n v="2"/>
    <x v="316"/>
    <n v="0"/>
    <x v="0"/>
    <x v="2"/>
    <x v="1"/>
    <x v="1"/>
  </r>
  <r>
    <s v="TXN-0321"/>
    <x v="177"/>
    <s v="Dimas Saputra"/>
    <x v="11"/>
    <x v="4"/>
    <x v="2"/>
    <x v="5"/>
    <x v="4"/>
    <n v="3"/>
    <x v="317"/>
    <n v="25000"/>
    <x v="1"/>
    <x v="1"/>
    <x v="0"/>
    <x v="0"/>
  </r>
  <r>
    <s v="TXN-0322"/>
    <x v="142"/>
    <s v="Fajar Lestari"/>
    <x v="22"/>
    <x v="0"/>
    <x v="2"/>
    <x v="3"/>
    <x v="2"/>
    <n v="6"/>
    <x v="318"/>
    <n v="0"/>
    <x v="0"/>
    <x v="1"/>
    <x v="0"/>
    <x v="1"/>
  </r>
  <r>
    <s v="TXN-0323"/>
    <x v="30"/>
    <s v="Alya Saputra"/>
    <x v="10"/>
    <x v="0"/>
    <x v="3"/>
    <x v="5"/>
    <x v="3"/>
    <n v="1"/>
    <x v="319"/>
    <n v="50000"/>
    <x v="0"/>
    <x v="0"/>
    <x v="1"/>
    <x v="0"/>
  </r>
  <r>
    <s v="TXN-0324"/>
    <x v="178"/>
    <s v="Rizky Dewi"/>
    <x v="103"/>
    <x v="1"/>
    <x v="1"/>
    <x v="3"/>
    <x v="4"/>
    <n v="5"/>
    <x v="320"/>
    <n v="0"/>
    <x v="1"/>
    <x v="1"/>
    <x v="0"/>
    <x v="1"/>
  </r>
  <r>
    <s v="TXN-0325"/>
    <x v="38"/>
    <s v="Rizky Saputra"/>
    <x v="36"/>
    <x v="3"/>
    <x v="1"/>
    <x v="4"/>
    <x v="2"/>
    <n v="7"/>
    <x v="321"/>
    <n v="35000"/>
    <x v="0"/>
    <x v="2"/>
    <x v="1"/>
    <x v="2"/>
  </r>
  <r>
    <s v="TXN-0326"/>
    <x v="155"/>
    <s v="Rizky Wijaya"/>
    <x v="83"/>
    <x v="1"/>
    <x v="0"/>
    <x v="1"/>
    <x v="4"/>
    <n v="7"/>
    <x v="322"/>
    <n v="35000"/>
    <x v="0"/>
    <x v="1"/>
    <x v="0"/>
    <x v="0"/>
  </r>
  <r>
    <s v="TXN-0327"/>
    <x v="179"/>
    <s v="Nadia Lestari"/>
    <x v="153"/>
    <x v="0"/>
    <x v="1"/>
    <x v="2"/>
    <x v="4"/>
    <n v="3"/>
    <x v="323"/>
    <n v="15000"/>
    <x v="2"/>
    <x v="1"/>
    <x v="1"/>
    <x v="0"/>
  </r>
  <r>
    <s v="TXN-0328"/>
    <x v="139"/>
    <s v="Raka Wijaya"/>
    <x v="36"/>
    <x v="4"/>
    <x v="2"/>
    <x v="2"/>
    <x v="0"/>
    <n v="5"/>
    <x v="59"/>
    <n v="50000"/>
    <x v="1"/>
    <x v="3"/>
    <x v="1"/>
    <x v="8"/>
  </r>
  <r>
    <s v="TXN-0329"/>
    <x v="180"/>
    <s v="Rizky Dewi"/>
    <x v="90"/>
    <x v="2"/>
    <x v="0"/>
    <x v="4"/>
    <x v="0"/>
    <n v="3"/>
    <x v="324"/>
    <n v="15000"/>
    <x v="0"/>
    <x v="2"/>
    <x v="0"/>
    <x v="0"/>
  </r>
  <r>
    <s v="TXN-0330"/>
    <x v="152"/>
    <s v="Fajar Permata"/>
    <x v="16"/>
    <x v="4"/>
    <x v="1"/>
    <x v="1"/>
    <x v="0"/>
    <n v="2"/>
    <x v="325"/>
    <n v="0"/>
    <x v="0"/>
    <x v="0"/>
    <x v="1"/>
    <x v="1"/>
  </r>
  <r>
    <s v="TXN-0331"/>
    <x v="128"/>
    <s v="Rizky Dewi"/>
    <x v="135"/>
    <x v="1"/>
    <x v="3"/>
    <x v="4"/>
    <x v="3"/>
    <n v="5"/>
    <x v="326"/>
    <n v="50000"/>
    <x v="0"/>
    <x v="1"/>
    <x v="1"/>
    <x v="0"/>
  </r>
  <r>
    <s v="TXN-0332"/>
    <x v="52"/>
    <s v="Fajar Wijaya"/>
    <x v="143"/>
    <x v="1"/>
    <x v="0"/>
    <x v="5"/>
    <x v="2"/>
    <n v="4"/>
    <x v="327"/>
    <n v="25000"/>
    <x v="0"/>
    <x v="2"/>
    <x v="0"/>
    <x v="0"/>
  </r>
  <r>
    <s v="TXN-0333"/>
    <x v="144"/>
    <s v="Bima Santoso"/>
    <x v="49"/>
    <x v="1"/>
    <x v="2"/>
    <x v="1"/>
    <x v="2"/>
    <n v="7"/>
    <x v="328"/>
    <n v="50000"/>
    <x v="0"/>
    <x v="2"/>
    <x v="0"/>
    <x v="0"/>
  </r>
  <r>
    <s v="TXN-0334"/>
    <x v="152"/>
    <s v="Fajar Permata"/>
    <x v="71"/>
    <x v="0"/>
    <x v="1"/>
    <x v="3"/>
    <x v="0"/>
    <n v="6"/>
    <x v="329"/>
    <n v="0"/>
    <x v="0"/>
    <x v="0"/>
    <x v="0"/>
    <x v="1"/>
  </r>
  <r>
    <s v="TXN-0335"/>
    <x v="18"/>
    <s v="Alya Saputra"/>
    <x v="31"/>
    <x v="3"/>
    <x v="2"/>
    <x v="5"/>
    <x v="0"/>
    <n v="3"/>
    <x v="330"/>
    <n v="25000"/>
    <x v="0"/>
    <x v="1"/>
    <x v="1"/>
    <x v="0"/>
  </r>
  <r>
    <s v="TXN-0336"/>
    <x v="166"/>
    <s v="Rizky Putri"/>
    <x v="35"/>
    <x v="4"/>
    <x v="3"/>
    <x v="2"/>
    <x v="2"/>
    <n v="7"/>
    <x v="331"/>
    <n v="0"/>
    <x v="0"/>
    <x v="0"/>
    <x v="0"/>
    <x v="1"/>
  </r>
  <r>
    <s v="TXN-0337"/>
    <x v="64"/>
    <s v="Citra Saputra"/>
    <x v="85"/>
    <x v="3"/>
    <x v="3"/>
    <x v="5"/>
    <x v="1"/>
    <n v="1"/>
    <x v="332"/>
    <n v="15000"/>
    <x v="0"/>
    <x v="0"/>
    <x v="0"/>
    <x v="0"/>
  </r>
  <r>
    <s v="TXN-0338"/>
    <x v="13"/>
    <s v="Citra Permata"/>
    <x v="154"/>
    <x v="4"/>
    <x v="2"/>
    <x v="2"/>
    <x v="4"/>
    <n v="1"/>
    <x v="333"/>
    <n v="15000"/>
    <x v="2"/>
    <x v="3"/>
    <x v="1"/>
    <x v="0"/>
  </r>
  <r>
    <s v="TXN-0339"/>
    <x v="167"/>
    <s v="Raka Dewi"/>
    <x v="84"/>
    <x v="2"/>
    <x v="2"/>
    <x v="0"/>
    <x v="2"/>
    <n v="3"/>
    <x v="334"/>
    <n v="50000"/>
    <x v="0"/>
    <x v="0"/>
    <x v="1"/>
    <x v="0"/>
  </r>
  <r>
    <s v="TXN-0340"/>
    <x v="181"/>
    <s v="Maya Dewi"/>
    <x v="103"/>
    <x v="1"/>
    <x v="3"/>
    <x v="5"/>
    <x v="1"/>
    <n v="2"/>
    <x v="335"/>
    <n v="0"/>
    <x v="1"/>
    <x v="0"/>
    <x v="0"/>
    <x v="1"/>
  </r>
  <r>
    <s v="TXN-0341"/>
    <x v="182"/>
    <s v="Dimas Dewi"/>
    <x v="18"/>
    <x v="1"/>
    <x v="3"/>
    <x v="4"/>
    <x v="0"/>
    <n v="4"/>
    <x v="336"/>
    <n v="35000"/>
    <x v="0"/>
    <x v="3"/>
    <x v="1"/>
    <x v="0"/>
  </r>
  <r>
    <s v="TXN-0342"/>
    <x v="175"/>
    <s v="Dimas Saputra"/>
    <x v="68"/>
    <x v="2"/>
    <x v="2"/>
    <x v="5"/>
    <x v="1"/>
    <n v="4"/>
    <x v="337"/>
    <n v="15000"/>
    <x v="0"/>
    <x v="2"/>
    <x v="1"/>
    <x v="0"/>
  </r>
  <r>
    <s v="TXN-0343"/>
    <x v="3"/>
    <s v="Dimas Lestari"/>
    <x v="118"/>
    <x v="0"/>
    <x v="0"/>
    <x v="1"/>
    <x v="2"/>
    <n v="2"/>
    <x v="338"/>
    <n v="50000"/>
    <x v="3"/>
    <x v="2"/>
    <x v="0"/>
    <x v="0"/>
  </r>
  <r>
    <s v="TXN-0344"/>
    <x v="115"/>
    <s v="Alya Dewi"/>
    <x v="28"/>
    <x v="1"/>
    <x v="0"/>
    <x v="0"/>
    <x v="0"/>
    <n v="2"/>
    <x v="339"/>
    <n v="35000"/>
    <x v="0"/>
    <x v="3"/>
    <x v="1"/>
    <x v="0"/>
  </r>
  <r>
    <s v="TXN-0345"/>
    <x v="25"/>
    <s v="Maya Santoso"/>
    <x v="155"/>
    <x v="1"/>
    <x v="1"/>
    <x v="3"/>
    <x v="3"/>
    <n v="1"/>
    <x v="340"/>
    <n v="35000"/>
    <x v="0"/>
    <x v="0"/>
    <x v="1"/>
    <x v="0"/>
  </r>
  <r>
    <s v="TXN-0346"/>
    <x v="112"/>
    <s v="Rizky Lestari"/>
    <x v="10"/>
    <x v="1"/>
    <x v="2"/>
    <x v="2"/>
    <x v="4"/>
    <n v="3"/>
    <x v="341"/>
    <n v="35000"/>
    <x v="2"/>
    <x v="0"/>
    <x v="1"/>
    <x v="0"/>
  </r>
  <r>
    <s v="TXN-0347"/>
    <x v="145"/>
    <s v="Fajar Pratama"/>
    <x v="156"/>
    <x v="0"/>
    <x v="3"/>
    <x v="3"/>
    <x v="4"/>
    <n v="4"/>
    <x v="342"/>
    <n v="50000"/>
    <x v="1"/>
    <x v="1"/>
    <x v="1"/>
    <x v="0"/>
  </r>
  <r>
    <s v="TXN-0348"/>
    <x v="183"/>
    <s v="Fajar Saputra"/>
    <x v="55"/>
    <x v="4"/>
    <x v="3"/>
    <x v="3"/>
    <x v="1"/>
    <n v="2"/>
    <x v="343"/>
    <n v="0"/>
    <x v="1"/>
    <x v="3"/>
    <x v="0"/>
    <x v="1"/>
  </r>
  <r>
    <s v="TXN-0349"/>
    <x v="65"/>
    <s v="Citra Lestari"/>
    <x v="157"/>
    <x v="3"/>
    <x v="3"/>
    <x v="5"/>
    <x v="0"/>
    <n v="6"/>
    <x v="344"/>
    <n v="15000"/>
    <x v="0"/>
    <x v="1"/>
    <x v="0"/>
    <x v="0"/>
  </r>
  <r>
    <s v="TXN-0350"/>
    <x v="145"/>
    <s v="Fajar Pratama"/>
    <x v="17"/>
    <x v="0"/>
    <x v="3"/>
    <x v="0"/>
    <x v="3"/>
    <n v="4"/>
    <x v="345"/>
    <n v="50000"/>
    <x v="0"/>
    <x v="2"/>
    <x v="1"/>
    <x v="0"/>
  </r>
  <r>
    <s v="TXN-0351"/>
    <x v="76"/>
    <s v="Maya Pratama"/>
    <x v="14"/>
    <x v="1"/>
    <x v="2"/>
    <x v="0"/>
    <x v="3"/>
    <n v="6"/>
    <x v="346"/>
    <n v="0"/>
    <x v="0"/>
    <x v="1"/>
    <x v="0"/>
    <x v="1"/>
  </r>
  <r>
    <s v="TXN-0352"/>
    <x v="65"/>
    <s v="Citra Lestari"/>
    <x v="67"/>
    <x v="2"/>
    <x v="1"/>
    <x v="1"/>
    <x v="1"/>
    <n v="4"/>
    <x v="347"/>
    <n v="15000"/>
    <x v="0"/>
    <x v="4"/>
    <x v="0"/>
    <x v="5"/>
  </r>
  <r>
    <s v="TXN-0353"/>
    <x v="78"/>
    <s v="Alya Wijaya"/>
    <x v="140"/>
    <x v="3"/>
    <x v="3"/>
    <x v="4"/>
    <x v="2"/>
    <n v="6"/>
    <x v="348"/>
    <n v="25000"/>
    <x v="0"/>
    <x v="3"/>
    <x v="1"/>
    <x v="0"/>
  </r>
  <r>
    <s v="TXN-0354"/>
    <x v="184"/>
    <s v="Fajar Saputra"/>
    <x v="46"/>
    <x v="3"/>
    <x v="2"/>
    <x v="1"/>
    <x v="4"/>
    <n v="6"/>
    <x v="349"/>
    <n v="35000"/>
    <x v="0"/>
    <x v="3"/>
    <x v="1"/>
    <x v="0"/>
  </r>
  <r>
    <s v="TXN-0355"/>
    <x v="106"/>
    <s v="Rizky Putri"/>
    <x v="65"/>
    <x v="3"/>
    <x v="1"/>
    <x v="2"/>
    <x v="2"/>
    <n v="2"/>
    <x v="350"/>
    <n v="15000"/>
    <x v="0"/>
    <x v="0"/>
    <x v="0"/>
    <x v="0"/>
  </r>
  <r>
    <s v="TXN-0356"/>
    <x v="124"/>
    <s v="Nadia Pratama"/>
    <x v="52"/>
    <x v="2"/>
    <x v="0"/>
    <x v="0"/>
    <x v="3"/>
    <n v="1"/>
    <x v="351"/>
    <n v="35000"/>
    <x v="3"/>
    <x v="3"/>
    <x v="0"/>
    <x v="0"/>
  </r>
  <r>
    <s v="TXN-0357"/>
    <x v="82"/>
    <s v="Fajar Pratama"/>
    <x v="51"/>
    <x v="4"/>
    <x v="0"/>
    <x v="0"/>
    <x v="0"/>
    <n v="4"/>
    <x v="352"/>
    <n v="0"/>
    <x v="0"/>
    <x v="2"/>
    <x v="0"/>
    <x v="1"/>
  </r>
  <r>
    <s v="TXN-0358"/>
    <x v="128"/>
    <s v="Rizky Dewi"/>
    <x v="102"/>
    <x v="2"/>
    <x v="2"/>
    <x v="5"/>
    <x v="1"/>
    <n v="5"/>
    <x v="353"/>
    <n v="15000"/>
    <x v="0"/>
    <x v="3"/>
    <x v="1"/>
    <x v="0"/>
  </r>
  <r>
    <s v="TXN-0359"/>
    <x v="185"/>
    <s v="Rizky Santoso"/>
    <x v="69"/>
    <x v="0"/>
    <x v="3"/>
    <x v="3"/>
    <x v="4"/>
    <n v="4"/>
    <x v="354"/>
    <n v="15000"/>
    <x v="0"/>
    <x v="0"/>
    <x v="0"/>
    <x v="0"/>
  </r>
  <r>
    <s v="TXN-0360"/>
    <x v="105"/>
    <s v="Raka Putri"/>
    <x v="6"/>
    <x v="3"/>
    <x v="3"/>
    <x v="2"/>
    <x v="2"/>
    <n v="2"/>
    <x v="355"/>
    <n v="50000"/>
    <x v="3"/>
    <x v="2"/>
    <x v="1"/>
    <x v="0"/>
  </r>
  <r>
    <s v="TXN-0361"/>
    <x v="74"/>
    <s v="Nadia Pratama"/>
    <x v="8"/>
    <x v="0"/>
    <x v="2"/>
    <x v="3"/>
    <x v="3"/>
    <n v="5"/>
    <x v="356"/>
    <n v="0"/>
    <x v="0"/>
    <x v="0"/>
    <x v="1"/>
    <x v="1"/>
  </r>
  <r>
    <s v="TXN-0362"/>
    <x v="128"/>
    <s v="Rizky Dewi"/>
    <x v="124"/>
    <x v="1"/>
    <x v="0"/>
    <x v="3"/>
    <x v="2"/>
    <n v="2"/>
    <x v="357"/>
    <n v="25000"/>
    <x v="0"/>
    <x v="2"/>
    <x v="0"/>
    <x v="0"/>
  </r>
  <r>
    <s v="TXN-0363"/>
    <x v="101"/>
    <s v="Fajar Saputra"/>
    <x v="93"/>
    <x v="2"/>
    <x v="3"/>
    <x v="4"/>
    <x v="0"/>
    <n v="7"/>
    <x v="358"/>
    <n v="50000"/>
    <x v="0"/>
    <x v="0"/>
    <x v="0"/>
    <x v="0"/>
  </r>
  <r>
    <s v="TXN-0364"/>
    <x v="28"/>
    <s v="Citra Dewi"/>
    <x v="77"/>
    <x v="3"/>
    <x v="2"/>
    <x v="4"/>
    <x v="1"/>
    <n v="4"/>
    <x v="359"/>
    <n v="0"/>
    <x v="1"/>
    <x v="0"/>
    <x v="1"/>
    <x v="1"/>
  </r>
  <r>
    <s v="TXN-0365"/>
    <x v="47"/>
    <s v="Dimas Santoso"/>
    <x v="6"/>
    <x v="1"/>
    <x v="1"/>
    <x v="5"/>
    <x v="3"/>
    <n v="6"/>
    <x v="360"/>
    <n v="15000"/>
    <x v="0"/>
    <x v="3"/>
    <x v="1"/>
    <x v="0"/>
  </r>
  <r>
    <s v="TXN-0366"/>
    <x v="186"/>
    <s v="Sari Pratama"/>
    <x v="107"/>
    <x v="4"/>
    <x v="2"/>
    <x v="1"/>
    <x v="4"/>
    <n v="7"/>
    <x v="361"/>
    <n v="50000"/>
    <x v="0"/>
    <x v="1"/>
    <x v="1"/>
    <x v="0"/>
  </r>
  <r>
    <s v="TXN-0367"/>
    <x v="187"/>
    <s v="Sari Putri"/>
    <x v="97"/>
    <x v="2"/>
    <x v="1"/>
    <x v="5"/>
    <x v="3"/>
    <n v="2"/>
    <x v="362"/>
    <n v="0"/>
    <x v="0"/>
    <x v="0"/>
    <x v="1"/>
    <x v="1"/>
  </r>
  <r>
    <s v="TXN-0368"/>
    <x v="188"/>
    <s v="Nadia Pratama"/>
    <x v="149"/>
    <x v="0"/>
    <x v="0"/>
    <x v="0"/>
    <x v="1"/>
    <n v="2"/>
    <x v="363"/>
    <n v="25000"/>
    <x v="0"/>
    <x v="0"/>
    <x v="1"/>
    <x v="0"/>
  </r>
  <r>
    <s v="TXN-0369"/>
    <x v="169"/>
    <s v="Nadia Lestari"/>
    <x v="142"/>
    <x v="2"/>
    <x v="2"/>
    <x v="5"/>
    <x v="3"/>
    <n v="4"/>
    <x v="364"/>
    <n v="25000"/>
    <x v="0"/>
    <x v="0"/>
    <x v="1"/>
    <x v="0"/>
  </r>
  <r>
    <s v="TXN-0370"/>
    <x v="189"/>
    <s v="Rizky Dewi"/>
    <x v="7"/>
    <x v="4"/>
    <x v="1"/>
    <x v="5"/>
    <x v="1"/>
    <n v="1"/>
    <x v="365"/>
    <n v="35000"/>
    <x v="0"/>
    <x v="0"/>
    <x v="0"/>
    <x v="0"/>
  </r>
  <r>
    <s v="TXN-0371"/>
    <x v="116"/>
    <s v="Citra Putri"/>
    <x v="19"/>
    <x v="3"/>
    <x v="2"/>
    <x v="2"/>
    <x v="0"/>
    <n v="6"/>
    <x v="366"/>
    <n v="50000"/>
    <x v="0"/>
    <x v="2"/>
    <x v="0"/>
    <x v="0"/>
  </r>
  <r>
    <s v="TXN-0372"/>
    <x v="30"/>
    <s v="Alya Saputra"/>
    <x v="158"/>
    <x v="1"/>
    <x v="0"/>
    <x v="1"/>
    <x v="4"/>
    <n v="2"/>
    <x v="367"/>
    <n v="35000"/>
    <x v="1"/>
    <x v="0"/>
    <x v="0"/>
    <x v="0"/>
  </r>
  <r>
    <s v="TXN-0373"/>
    <x v="93"/>
    <s v="Rizky Santoso"/>
    <x v="53"/>
    <x v="4"/>
    <x v="1"/>
    <x v="4"/>
    <x v="0"/>
    <n v="7"/>
    <x v="368"/>
    <n v="15000"/>
    <x v="0"/>
    <x v="3"/>
    <x v="0"/>
    <x v="0"/>
  </r>
  <r>
    <s v="TXN-0374"/>
    <x v="30"/>
    <s v="Alya Saputra"/>
    <x v="159"/>
    <x v="4"/>
    <x v="1"/>
    <x v="2"/>
    <x v="4"/>
    <n v="1"/>
    <x v="369"/>
    <n v="0"/>
    <x v="0"/>
    <x v="2"/>
    <x v="0"/>
    <x v="1"/>
  </r>
  <r>
    <s v="TXN-0375"/>
    <x v="188"/>
    <s v="Nadia Pratama"/>
    <x v="128"/>
    <x v="0"/>
    <x v="3"/>
    <x v="1"/>
    <x v="3"/>
    <n v="4"/>
    <x v="370"/>
    <n v="0"/>
    <x v="0"/>
    <x v="2"/>
    <x v="1"/>
    <x v="1"/>
  </r>
  <r>
    <s v="TXN-0376"/>
    <x v="170"/>
    <s v="Bima Permata"/>
    <x v="160"/>
    <x v="1"/>
    <x v="2"/>
    <x v="4"/>
    <x v="3"/>
    <n v="3"/>
    <x v="371"/>
    <n v="35000"/>
    <x v="1"/>
    <x v="2"/>
    <x v="0"/>
    <x v="0"/>
  </r>
  <r>
    <s v="TXN-0377"/>
    <x v="29"/>
    <s v="Rizky Permata"/>
    <x v="136"/>
    <x v="2"/>
    <x v="3"/>
    <x v="0"/>
    <x v="2"/>
    <n v="5"/>
    <x v="372"/>
    <n v="15000"/>
    <x v="0"/>
    <x v="0"/>
    <x v="1"/>
    <x v="0"/>
  </r>
  <r>
    <s v="TXN-0378"/>
    <x v="163"/>
    <s v="Dimas Santoso"/>
    <x v="52"/>
    <x v="2"/>
    <x v="3"/>
    <x v="0"/>
    <x v="2"/>
    <n v="7"/>
    <x v="373"/>
    <n v="15000"/>
    <x v="2"/>
    <x v="3"/>
    <x v="1"/>
    <x v="0"/>
  </r>
  <r>
    <s v="TXN-0379"/>
    <x v="38"/>
    <s v="Rizky Saputra"/>
    <x v="161"/>
    <x v="3"/>
    <x v="0"/>
    <x v="2"/>
    <x v="4"/>
    <n v="3"/>
    <x v="374"/>
    <n v="25000"/>
    <x v="0"/>
    <x v="2"/>
    <x v="1"/>
    <x v="0"/>
  </r>
  <r>
    <s v="TXN-0380"/>
    <x v="190"/>
    <s v="Alya Putri"/>
    <x v="25"/>
    <x v="4"/>
    <x v="3"/>
    <x v="4"/>
    <x v="0"/>
    <n v="7"/>
    <x v="375"/>
    <n v="35000"/>
    <x v="0"/>
    <x v="3"/>
    <x v="1"/>
    <x v="0"/>
  </r>
  <r>
    <s v="TXN-0381"/>
    <x v="191"/>
    <s v="Maya Santoso"/>
    <x v="143"/>
    <x v="3"/>
    <x v="1"/>
    <x v="3"/>
    <x v="3"/>
    <n v="3"/>
    <x v="376"/>
    <n v="0"/>
    <x v="1"/>
    <x v="0"/>
    <x v="1"/>
    <x v="1"/>
  </r>
  <r>
    <s v="TXN-0382"/>
    <x v="66"/>
    <s v="Citra Pratama"/>
    <x v="33"/>
    <x v="4"/>
    <x v="3"/>
    <x v="0"/>
    <x v="3"/>
    <n v="7"/>
    <x v="377"/>
    <n v="25000"/>
    <x v="0"/>
    <x v="2"/>
    <x v="0"/>
    <x v="0"/>
  </r>
  <r>
    <s v="TXN-0383"/>
    <x v="31"/>
    <s v="Nadia Pratama"/>
    <x v="82"/>
    <x v="0"/>
    <x v="2"/>
    <x v="3"/>
    <x v="1"/>
    <n v="5"/>
    <x v="378"/>
    <n v="15000"/>
    <x v="0"/>
    <x v="2"/>
    <x v="1"/>
    <x v="0"/>
  </r>
  <r>
    <s v="TXN-0384"/>
    <x v="65"/>
    <s v="Citra Lestari"/>
    <x v="151"/>
    <x v="4"/>
    <x v="2"/>
    <x v="5"/>
    <x v="2"/>
    <n v="4"/>
    <x v="379"/>
    <n v="50000"/>
    <x v="0"/>
    <x v="1"/>
    <x v="0"/>
    <x v="0"/>
  </r>
  <r>
    <s v="TXN-0385"/>
    <x v="192"/>
    <s v="Alya Putri"/>
    <x v="80"/>
    <x v="0"/>
    <x v="3"/>
    <x v="4"/>
    <x v="1"/>
    <n v="5"/>
    <x v="380"/>
    <n v="25000"/>
    <x v="1"/>
    <x v="3"/>
    <x v="1"/>
    <x v="0"/>
  </r>
  <r>
    <s v="TXN-0386"/>
    <x v="193"/>
    <s v="Bima Dewi"/>
    <x v="3"/>
    <x v="4"/>
    <x v="1"/>
    <x v="1"/>
    <x v="4"/>
    <n v="7"/>
    <x v="381"/>
    <n v="35000"/>
    <x v="0"/>
    <x v="0"/>
    <x v="0"/>
    <x v="0"/>
  </r>
  <r>
    <s v="TXN-0387"/>
    <x v="49"/>
    <s v="Citra Putri"/>
    <x v="74"/>
    <x v="0"/>
    <x v="0"/>
    <x v="2"/>
    <x v="1"/>
    <n v="7"/>
    <x v="382"/>
    <n v="15000"/>
    <x v="0"/>
    <x v="3"/>
    <x v="1"/>
    <x v="0"/>
  </r>
  <r>
    <s v="TXN-0388"/>
    <x v="194"/>
    <s v="Nadia Permata"/>
    <x v="86"/>
    <x v="2"/>
    <x v="3"/>
    <x v="5"/>
    <x v="1"/>
    <m/>
    <x v="383"/>
    <n v="0"/>
    <x v="0"/>
    <x v="0"/>
    <x v="1"/>
    <x v="9"/>
  </r>
  <r>
    <s v="TXN-0389"/>
    <x v="36"/>
    <s v="Fajar Pratama"/>
    <x v="11"/>
    <x v="2"/>
    <x v="2"/>
    <x v="0"/>
    <x v="3"/>
    <n v="4"/>
    <x v="384"/>
    <n v="0"/>
    <x v="0"/>
    <x v="2"/>
    <x v="1"/>
    <x v="1"/>
  </r>
  <r>
    <s v="TXN-0390"/>
    <x v="0"/>
    <s v="Fajar Permata"/>
    <x v="94"/>
    <x v="1"/>
    <x v="0"/>
    <x v="4"/>
    <x v="1"/>
    <n v="4"/>
    <x v="385"/>
    <n v="25000"/>
    <x v="0"/>
    <x v="0"/>
    <x v="0"/>
    <x v="0"/>
  </r>
  <r>
    <s v="TXN-0391"/>
    <x v="137"/>
    <s v="Alya Santoso"/>
    <x v="141"/>
    <x v="0"/>
    <x v="2"/>
    <x v="5"/>
    <x v="4"/>
    <n v="6"/>
    <x v="386"/>
    <n v="35000"/>
    <x v="3"/>
    <x v="2"/>
    <x v="0"/>
    <x v="0"/>
  </r>
  <r>
    <s v="TXN-0392"/>
    <x v="157"/>
    <s v="Maya Permata"/>
    <x v="95"/>
    <x v="0"/>
    <x v="3"/>
    <x v="5"/>
    <x v="2"/>
    <n v="4"/>
    <x v="387"/>
    <n v="50000"/>
    <x v="0"/>
    <x v="2"/>
    <x v="1"/>
    <x v="0"/>
  </r>
  <r>
    <s v="TXN-0393"/>
    <x v="15"/>
    <s v="Fajar Lestari"/>
    <x v="133"/>
    <x v="2"/>
    <x v="2"/>
    <x v="2"/>
    <x v="1"/>
    <n v="1"/>
    <x v="388"/>
    <n v="15000"/>
    <x v="0"/>
    <x v="2"/>
    <x v="1"/>
    <x v="0"/>
  </r>
  <r>
    <s v="TXN-0394"/>
    <x v="139"/>
    <s v="Raka Wijaya"/>
    <x v="60"/>
    <x v="4"/>
    <x v="0"/>
    <x v="3"/>
    <x v="2"/>
    <n v="2"/>
    <x v="389"/>
    <n v="35000"/>
    <x v="0"/>
    <x v="2"/>
    <x v="1"/>
    <x v="0"/>
  </r>
  <r>
    <s v="TXN-0395"/>
    <x v="39"/>
    <s v="Rizky Wijaya"/>
    <x v="49"/>
    <x v="4"/>
    <x v="3"/>
    <x v="5"/>
    <x v="0"/>
    <n v="7"/>
    <x v="59"/>
    <n v="25000"/>
    <x v="3"/>
    <x v="2"/>
    <x v="0"/>
    <x v="3"/>
  </r>
  <r>
    <s v="TXN-0396"/>
    <x v="188"/>
    <s v="Nadia Pratama"/>
    <x v="118"/>
    <x v="0"/>
    <x v="0"/>
    <x v="4"/>
    <x v="0"/>
    <n v="6"/>
    <x v="390"/>
    <n v="0"/>
    <x v="0"/>
    <x v="2"/>
    <x v="1"/>
    <x v="1"/>
  </r>
  <r>
    <s v="TXN-0397"/>
    <x v="168"/>
    <s v="Fajar Santoso"/>
    <x v="37"/>
    <x v="3"/>
    <x v="3"/>
    <x v="4"/>
    <x v="4"/>
    <n v="1"/>
    <x v="391"/>
    <n v="50000"/>
    <x v="0"/>
    <x v="2"/>
    <x v="0"/>
    <x v="0"/>
  </r>
  <r>
    <s v="TXN-0398"/>
    <x v="42"/>
    <s v="Maya Pratama"/>
    <x v="153"/>
    <x v="3"/>
    <x v="0"/>
    <x v="3"/>
    <x v="3"/>
    <n v="2"/>
    <x v="392"/>
    <n v="50000"/>
    <x v="0"/>
    <x v="3"/>
    <x v="0"/>
    <x v="0"/>
  </r>
  <r>
    <s v="TXN-0399"/>
    <x v="67"/>
    <s v="Fajar Wijaya"/>
    <x v="142"/>
    <x v="3"/>
    <x v="0"/>
    <x v="0"/>
    <x v="3"/>
    <n v="6"/>
    <x v="393"/>
    <n v="25000"/>
    <x v="0"/>
    <x v="0"/>
    <x v="0"/>
    <x v="0"/>
  </r>
  <r>
    <s v="TXN-0400"/>
    <x v="135"/>
    <s v="Nadia Lestari"/>
    <x v="23"/>
    <x v="0"/>
    <x v="0"/>
    <x v="2"/>
    <x v="2"/>
    <n v="2"/>
    <x v="394"/>
    <n v="0"/>
    <x v="2"/>
    <x v="3"/>
    <x v="1"/>
    <x v="1"/>
  </r>
  <r>
    <s v="TXN-0401"/>
    <x v="59"/>
    <s v="Raka Pratama"/>
    <x v="82"/>
    <x v="1"/>
    <x v="3"/>
    <x v="0"/>
    <x v="4"/>
    <n v="2"/>
    <x v="395"/>
    <n v="25000"/>
    <x v="0"/>
    <x v="2"/>
    <x v="0"/>
    <x v="0"/>
  </r>
  <r>
    <s v="TXN-0402"/>
    <x v="195"/>
    <s v="Alya Santoso"/>
    <x v="64"/>
    <x v="2"/>
    <x v="2"/>
    <x v="0"/>
    <x v="3"/>
    <n v="6"/>
    <x v="396"/>
    <n v="25000"/>
    <x v="0"/>
    <x v="2"/>
    <x v="1"/>
    <x v="0"/>
  </r>
  <r>
    <s v="TXN-0403"/>
    <x v="88"/>
    <s v="Maya Saputra"/>
    <x v="13"/>
    <x v="1"/>
    <x v="0"/>
    <x v="0"/>
    <x v="2"/>
    <n v="7"/>
    <x v="397"/>
    <n v="25000"/>
    <x v="0"/>
    <x v="0"/>
    <x v="1"/>
    <x v="0"/>
  </r>
  <r>
    <s v="TXN-0404"/>
    <x v="55"/>
    <s v="Bima Santoso"/>
    <x v="7"/>
    <x v="2"/>
    <x v="1"/>
    <x v="0"/>
    <x v="1"/>
    <n v="6"/>
    <x v="398"/>
    <n v="35000"/>
    <x v="0"/>
    <x v="1"/>
    <x v="0"/>
    <x v="0"/>
  </r>
  <r>
    <s v="TXN-0405"/>
    <x v="196"/>
    <s v="Fajar Saputra"/>
    <x v="80"/>
    <x v="3"/>
    <x v="3"/>
    <x v="2"/>
    <x v="3"/>
    <n v="1"/>
    <x v="399"/>
    <n v="35000"/>
    <x v="0"/>
    <x v="3"/>
    <x v="1"/>
    <x v="0"/>
  </r>
  <r>
    <s v="TXN-0406"/>
    <x v="121"/>
    <s v="Fajar Wijaya"/>
    <x v="37"/>
    <x v="2"/>
    <x v="1"/>
    <x v="4"/>
    <x v="3"/>
    <n v="3"/>
    <x v="400"/>
    <n v="0"/>
    <x v="0"/>
    <x v="3"/>
    <x v="1"/>
    <x v="1"/>
  </r>
  <r>
    <s v="TXN-0407"/>
    <x v="197"/>
    <s v="Citra Saputra"/>
    <x v="162"/>
    <x v="4"/>
    <x v="1"/>
    <x v="3"/>
    <x v="1"/>
    <n v="1"/>
    <x v="401"/>
    <n v="50000"/>
    <x v="0"/>
    <x v="2"/>
    <x v="0"/>
    <x v="0"/>
  </r>
  <r>
    <s v="TXN-0408"/>
    <x v="150"/>
    <s v="Alya Pratama"/>
    <x v="141"/>
    <x v="4"/>
    <x v="1"/>
    <x v="3"/>
    <x v="0"/>
    <n v="5"/>
    <x v="402"/>
    <n v="25000"/>
    <x v="0"/>
    <x v="0"/>
    <x v="0"/>
    <x v="0"/>
  </r>
  <r>
    <s v="TXN-0409"/>
    <x v="63"/>
    <s v="Maya Wijaya"/>
    <x v="51"/>
    <x v="1"/>
    <x v="1"/>
    <x v="2"/>
    <x v="1"/>
    <n v="3"/>
    <x v="403"/>
    <n v="15000"/>
    <x v="0"/>
    <x v="2"/>
    <x v="1"/>
    <x v="0"/>
  </r>
  <r>
    <s v="TXN-0410"/>
    <x v="100"/>
    <s v="Fajar Santoso"/>
    <x v="64"/>
    <x v="1"/>
    <x v="0"/>
    <x v="2"/>
    <x v="1"/>
    <n v="5"/>
    <x v="404"/>
    <n v="25000"/>
    <x v="3"/>
    <x v="0"/>
    <x v="0"/>
    <x v="0"/>
  </r>
  <r>
    <s v="TXN-0411"/>
    <x v="14"/>
    <s v="Rizky Dewi"/>
    <x v="36"/>
    <x v="2"/>
    <x v="0"/>
    <x v="5"/>
    <x v="4"/>
    <n v="1"/>
    <x v="405"/>
    <n v="50000"/>
    <x v="2"/>
    <x v="1"/>
    <x v="0"/>
    <x v="2"/>
  </r>
  <r>
    <s v="TXN-0412"/>
    <x v="1"/>
    <s v="Rizky Permata"/>
    <x v="8"/>
    <x v="0"/>
    <x v="2"/>
    <x v="3"/>
    <x v="2"/>
    <n v="3"/>
    <x v="406"/>
    <n v="50000"/>
    <x v="0"/>
    <x v="3"/>
    <x v="0"/>
    <x v="0"/>
  </r>
  <r>
    <s v="TXN-0413"/>
    <x v="153"/>
    <s v="Fajar Santoso"/>
    <x v="163"/>
    <x v="3"/>
    <x v="0"/>
    <x v="1"/>
    <x v="2"/>
    <n v="1"/>
    <x v="407"/>
    <n v="0"/>
    <x v="0"/>
    <x v="3"/>
    <x v="0"/>
    <x v="1"/>
  </r>
  <r>
    <s v="TXN-0414"/>
    <x v="198"/>
    <s v="Bima Lestari"/>
    <x v="79"/>
    <x v="3"/>
    <x v="1"/>
    <x v="1"/>
    <x v="0"/>
    <n v="1"/>
    <x v="408"/>
    <n v="0"/>
    <x v="0"/>
    <x v="0"/>
    <x v="0"/>
    <x v="1"/>
  </r>
  <r>
    <s v="TXN-0415"/>
    <x v="63"/>
    <s v="Maya Wijaya"/>
    <x v="164"/>
    <x v="3"/>
    <x v="2"/>
    <x v="1"/>
    <x v="0"/>
    <n v="6"/>
    <x v="409"/>
    <n v="25000"/>
    <x v="0"/>
    <x v="1"/>
    <x v="1"/>
    <x v="0"/>
  </r>
  <r>
    <s v="TXN-0416"/>
    <x v="57"/>
    <s v="Citra Santoso"/>
    <x v="157"/>
    <x v="3"/>
    <x v="2"/>
    <x v="4"/>
    <x v="4"/>
    <n v="1"/>
    <x v="410"/>
    <n v="50000"/>
    <x v="0"/>
    <x v="2"/>
    <x v="0"/>
    <x v="0"/>
  </r>
  <r>
    <s v="TXN-0417"/>
    <x v="190"/>
    <s v="Alya Putri"/>
    <x v="44"/>
    <x v="0"/>
    <x v="0"/>
    <x v="1"/>
    <x v="1"/>
    <n v="4"/>
    <x v="411"/>
    <n v="25000"/>
    <x v="0"/>
    <x v="2"/>
    <x v="1"/>
    <x v="0"/>
  </r>
  <r>
    <s v="TXN-0418"/>
    <x v="121"/>
    <s v="Fajar Wijaya"/>
    <x v="159"/>
    <x v="2"/>
    <x v="1"/>
    <x v="2"/>
    <x v="1"/>
    <n v="2"/>
    <x v="412"/>
    <n v="15000"/>
    <x v="1"/>
    <x v="0"/>
    <x v="0"/>
    <x v="0"/>
  </r>
  <r>
    <s v="TXN-0419"/>
    <x v="89"/>
    <s v="Citra Permata"/>
    <x v="36"/>
    <x v="1"/>
    <x v="3"/>
    <x v="2"/>
    <x v="1"/>
    <n v="4"/>
    <x v="413"/>
    <n v="50000"/>
    <x v="0"/>
    <x v="2"/>
    <x v="0"/>
    <x v="2"/>
  </r>
  <r>
    <s v="TXN-0420"/>
    <x v="23"/>
    <s v="Dimas Permata"/>
    <x v="53"/>
    <x v="4"/>
    <x v="3"/>
    <x v="3"/>
    <x v="4"/>
    <n v="1"/>
    <x v="414"/>
    <n v="35000"/>
    <x v="0"/>
    <x v="2"/>
    <x v="0"/>
    <x v="0"/>
  </r>
  <r>
    <s v="TXN-0421"/>
    <x v="88"/>
    <s v="Maya Saputra"/>
    <x v="37"/>
    <x v="0"/>
    <x v="0"/>
    <x v="1"/>
    <x v="4"/>
    <n v="6"/>
    <x v="415"/>
    <n v="35000"/>
    <x v="0"/>
    <x v="2"/>
    <x v="1"/>
    <x v="0"/>
  </r>
  <r>
    <s v="TXN-0422"/>
    <x v="199"/>
    <s v="Fajar Pratama"/>
    <x v="98"/>
    <x v="4"/>
    <x v="0"/>
    <x v="2"/>
    <x v="0"/>
    <n v="5"/>
    <x v="416"/>
    <n v="35000"/>
    <x v="0"/>
    <x v="0"/>
    <x v="0"/>
    <x v="0"/>
  </r>
  <r>
    <s v="TXN-0423"/>
    <x v="97"/>
    <s v="Citra Pratama"/>
    <x v="140"/>
    <x v="1"/>
    <x v="2"/>
    <x v="1"/>
    <x v="0"/>
    <n v="1"/>
    <x v="417"/>
    <n v="35000"/>
    <x v="3"/>
    <x v="0"/>
    <x v="0"/>
    <x v="0"/>
  </r>
  <r>
    <s v="TXN-0424"/>
    <x v="200"/>
    <s v="Bima Dewi"/>
    <x v="82"/>
    <x v="1"/>
    <x v="3"/>
    <x v="4"/>
    <x v="2"/>
    <n v="5"/>
    <x v="418"/>
    <n v="50000"/>
    <x v="0"/>
    <x v="0"/>
    <x v="1"/>
    <x v="0"/>
  </r>
  <r>
    <s v="TXN-0425"/>
    <x v="134"/>
    <s v="Alya Santoso"/>
    <x v="161"/>
    <x v="0"/>
    <x v="3"/>
    <x v="5"/>
    <x v="1"/>
    <n v="6"/>
    <x v="419"/>
    <n v="35000"/>
    <x v="0"/>
    <x v="0"/>
    <x v="0"/>
    <x v="0"/>
  </r>
  <r>
    <s v="TXN-0426"/>
    <x v="201"/>
    <s v="Dimas Santoso"/>
    <x v="129"/>
    <x v="3"/>
    <x v="2"/>
    <x v="0"/>
    <x v="4"/>
    <n v="3"/>
    <x v="420"/>
    <n v="50000"/>
    <x v="0"/>
    <x v="3"/>
    <x v="1"/>
    <x v="0"/>
  </r>
  <r>
    <s v="TXN-0427"/>
    <x v="201"/>
    <s v="Dimas Santoso"/>
    <x v="120"/>
    <x v="2"/>
    <x v="1"/>
    <x v="5"/>
    <x v="3"/>
    <n v="6"/>
    <x v="421"/>
    <n v="0"/>
    <x v="0"/>
    <x v="2"/>
    <x v="0"/>
    <x v="1"/>
  </r>
  <r>
    <s v="TXN-0428"/>
    <x v="167"/>
    <s v="Raka Dewi"/>
    <x v="109"/>
    <x v="2"/>
    <x v="1"/>
    <x v="4"/>
    <x v="4"/>
    <n v="2"/>
    <x v="422"/>
    <n v="15000"/>
    <x v="0"/>
    <x v="0"/>
    <x v="1"/>
    <x v="0"/>
  </r>
  <r>
    <s v="TXN-0429"/>
    <x v="98"/>
    <s v="Sari Putri"/>
    <x v="34"/>
    <x v="1"/>
    <x v="3"/>
    <x v="0"/>
    <x v="0"/>
    <n v="1"/>
    <x v="423"/>
    <n v="15000"/>
    <x v="1"/>
    <x v="3"/>
    <x v="0"/>
    <x v="0"/>
  </r>
  <r>
    <s v="TXN-0430"/>
    <x v="79"/>
    <s v="Rizky Wijaya"/>
    <x v="22"/>
    <x v="0"/>
    <x v="3"/>
    <x v="2"/>
    <x v="1"/>
    <n v="3"/>
    <x v="424"/>
    <n v="50000"/>
    <x v="0"/>
    <x v="3"/>
    <x v="0"/>
    <x v="0"/>
  </r>
  <r>
    <s v="TXN-0431"/>
    <x v="71"/>
    <s v="Sari Permata"/>
    <x v="123"/>
    <x v="1"/>
    <x v="1"/>
    <x v="4"/>
    <x v="4"/>
    <n v="7"/>
    <x v="425"/>
    <n v="15000"/>
    <x v="0"/>
    <x v="2"/>
    <x v="0"/>
    <x v="0"/>
  </r>
  <r>
    <s v="TXN-0432"/>
    <x v="172"/>
    <s v="Sari Saputra"/>
    <x v="164"/>
    <x v="0"/>
    <x v="0"/>
    <x v="4"/>
    <x v="4"/>
    <n v="4"/>
    <x v="426"/>
    <n v="25000"/>
    <x v="0"/>
    <x v="2"/>
    <x v="1"/>
    <x v="0"/>
  </r>
  <r>
    <s v="TXN-0433"/>
    <x v="85"/>
    <s v="Fajar Dewi"/>
    <x v="163"/>
    <x v="3"/>
    <x v="2"/>
    <x v="0"/>
    <x v="2"/>
    <n v="4"/>
    <x v="427"/>
    <n v="25000"/>
    <x v="0"/>
    <x v="0"/>
    <x v="1"/>
    <x v="0"/>
  </r>
  <r>
    <s v="TXN-0434"/>
    <x v="202"/>
    <s v="Sari Wijaya"/>
    <x v="110"/>
    <x v="4"/>
    <x v="3"/>
    <x v="5"/>
    <x v="1"/>
    <n v="3"/>
    <x v="428"/>
    <n v="15000"/>
    <x v="1"/>
    <x v="0"/>
    <x v="1"/>
    <x v="0"/>
  </r>
  <r>
    <s v="TXN-0435"/>
    <x v="153"/>
    <s v="Fajar Santoso"/>
    <x v="75"/>
    <x v="2"/>
    <x v="3"/>
    <x v="1"/>
    <x v="1"/>
    <n v="1"/>
    <x v="429"/>
    <n v="25000"/>
    <x v="3"/>
    <x v="0"/>
    <x v="1"/>
    <x v="0"/>
  </r>
  <r>
    <s v="TXN-0436"/>
    <x v="31"/>
    <s v="Nadia Pratama"/>
    <x v="4"/>
    <x v="1"/>
    <x v="2"/>
    <x v="0"/>
    <x v="0"/>
    <n v="4"/>
    <x v="430"/>
    <n v="0"/>
    <x v="0"/>
    <x v="0"/>
    <x v="1"/>
    <x v="1"/>
  </r>
  <r>
    <s v="TXN-0437"/>
    <x v="147"/>
    <s v="Alya Saputra"/>
    <x v="44"/>
    <x v="3"/>
    <x v="2"/>
    <x v="4"/>
    <x v="1"/>
    <n v="5"/>
    <x v="431"/>
    <n v="15000"/>
    <x v="0"/>
    <x v="0"/>
    <x v="0"/>
    <x v="0"/>
  </r>
  <r>
    <s v="TXN-0438"/>
    <x v="145"/>
    <s v="Fajar Pratama"/>
    <x v="113"/>
    <x v="2"/>
    <x v="0"/>
    <x v="0"/>
    <x v="0"/>
    <n v="5"/>
    <x v="432"/>
    <n v="35000"/>
    <x v="0"/>
    <x v="0"/>
    <x v="0"/>
    <x v="0"/>
  </r>
  <r>
    <s v="TXN-0439"/>
    <x v="113"/>
    <s v="Nadia Lestari"/>
    <x v="44"/>
    <x v="2"/>
    <x v="3"/>
    <x v="4"/>
    <x v="0"/>
    <n v="1"/>
    <x v="433"/>
    <n v="15000"/>
    <x v="0"/>
    <x v="2"/>
    <x v="1"/>
    <x v="0"/>
  </r>
  <r>
    <s v="TXN-0440"/>
    <x v="122"/>
    <s v="Fajar Saputra"/>
    <x v="44"/>
    <x v="2"/>
    <x v="1"/>
    <x v="0"/>
    <x v="0"/>
    <n v="2"/>
    <x v="434"/>
    <n v="35000"/>
    <x v="0"/>
    <x v="4"/>
    <x v="0"/>
    <x v="5"/>
  </r>
  <r>
    <s v="TXN-0441"/>
    <x v="203"/>
    <s v="Bima Dewi"/>
    <x v="140"/>
    <x v="1"/>
    <x v="0"/>
    <x v="5"/>
    <x v="1"/>
    <n v="1"/>
    <x v="435"/>
    <n v="0"/>
    <x v="0"/>
    <x v="0"/>
    <x v="0"/>
    <x v="1"/>
  </r>
  <r>
    <s v="TXN-0442"/>
    <x v="60"/>
    <s v="Maya Putri"/>
    <x v="165"/>
    <x v="3"/>
    <x v="3"/>
    <x v="0"/>
    <x v="1"/>
    <n v="5"/>
    <x v="436"/>
    <n v="15000"/>
    <x v="1"/>
    <x v="3"/>
    <x v="0"/>
    <x v="0"/>
  </r>
  <r>
    <s v="TXN-0443"/>
    <x v="3"/>
    <s v="Dimas Lestari"/>
    <x v="106"/>
    <x v="0"/>
    <x v="3"/>
    <x v="0"/>
    <x v="0"/>
    <n v="7"/>
    <x v="437"/>
    <n v="15000"/>
    <x v="2"/>
    <x v="1"/>
    <x v="1"/>
    <x v="0"/>
  </r>
  <r>
    <s v="TXN-0444"/>
    <x v="161"/>
    <s v="Rizky Dewi"/>
    <x v="82"/>
    <x v="4"/>
    <x v="0"/>
    <x v="1"/>
    <x v="1"/>
    <n v="1"/>
    <x v="438"/>
    <n v="35000"/>
    <x v="0"/>
    <x v="3"/>
    <x v="0"/>
    <x v="0"/>
  </r>
  <r>
    <s v="TXN-0445"/>
    <x v="191"/>
    <s v="Maya Santoso"/>
    <x v="132"/>
    <x v="1"/>
    <x v="2"/>
    <x v="2"/>
    <x v="2"/>
    <n v="7"/>
    <x v="439"/>
    <n v="25000"/>
    <x v="0"/>
    <x v="0"/>
    <x v="1"/>
    <x v="0"/>
  </r>
  <r>
    <s v="TXN-0446"/>
    <x v="204"/>
    <s v="Raka Putri"/>
    <x v="114"/>
    <x v="2"/>
    <x v="0"/>
    <x v="4"/>
    <x v="4"/>
    <n v="5"/>
    <x v="440"/>
    <n v="35000"/>
    <x v="0"/>
    <x v="2"/>
    <x v="0"/>
    <x v="0"/>
  </r>
  <r>
    <s v="TXN-0447"/>
    <x v="201"/>
    <s v="Dimas Santoso"/>
    <x v="50"/>
    <x v="1"/>
    <x v="3"/>
    <x v="4"/>
    <x v="4"/>
    <n v="3"/>
    <x v="441"/>
    <n v="0"/>
    <x v="0"/>
    <x v="0"/>
    <x v="0"/>
    <x v="1"/>
  </r>
  <r>
    <s v="TXN-0448"/>
    <x v="132"/>
    <s v="Alya Dewi"/>
    <x v="109"/>
    <x v="2"/>
    <x v="0"/>
    <x v="5"/>
    <x v="1"/>
    <n v="4"/>
    <x v="442"/>
    <n v="50000"/>
    <x v="0"/>
    <x v="0"/>
    <x v="0"/>
    <x v="0"/>
  </r>
  <r>
    <s v="TXN-0449"/>
    <x v="36"/>
    <s v="Fajar Pratama"/>
    <x v="116"/>
    <x v="0"/>
    <x v="0"/>
    <x v="0"/>
    <x v="4"/>
    <n v="3"/>
    <x v="443"/>
    <n v="0"/>
    <x v="1"/>
    <x v="0"/>
    <x v="0"/>
    <x v="1"/>
  </r>
  <r>
    <s v="TXN-0450"/>
    <x v="95"/>
    <s v="Citra Pratama"/>
    <x v="166"/>
    <x v="2"/>
    <x v="3"/>
    <x v="4"/>
    <x v="3"/>
    <n v="3"/>
    <x v="444"/>
    <n v="25000"/>
    <x v="0"/>
    <x v="3"/>
    <x v="0"/>
    <x v="0"/>
  </r>
  <r>
    <s v="TXN-0451"/>
    <x v="82"/>
    <s v="Fajar Pratama"/>
    <x v="50"/>
    <x v="3"/>
    <x v="0"/>
    <x v="2"/>
    <x v="4"/>
    <n v="4"/>
    <x v="445"/>
    <n v="35000"/>
    <x v="0"/>
    <x v="2"/>
    <x v="1"/>
    <x v="0"/>
  </r>
  <r>
    <s v="TXN-0452"/>
    <x v="144"/>
    <s v="Bima Santoso"/>
    <x v="44"/>
    <x v="1"/>
    <x v="1"/>
    <x v="0"/>
    <x v="3"/>
    <n v="5"/>
    <x v="446"/>
    <n v="25000"/>
    <x v="0"/>
    <x v="1"/>
    <x v="0"/>
    <x v="0"/>
  </r>
  <r>
    <s v="TXN-0453"/>
    <x v="80"/>
    <s v="Nadia Wijaya"/>
    <x v="108"/>
    <x v="3"/>
    <x v="1"/>
    <x v="4"/>
    <x v="2"/>
    <n v="6"/>
    <x v="447"/>
    <n v="15000"/>
    <x v="0"/>
    <x v="3"/>
    <x v="1"/>
    <x v="0"/>
  </r>
  <r>
    <s v="TXN-0454"/>
    <x v="44"/>
    <s v="Rizky Dewi"/>
    <x v="167"/>
    <x v="3"/>
    <x v="0"/>
    <x v="0"/>
    <x v="2"/>
    <n v="3"/>
    <x v="448"/>
    <n v="50000"/>
    <x v="0"/>
    <x v="0"/>
    <x v="0"/>
    <x v="0"/>
  </r>
  <r>
    <s v="TXN-0455"/>
    <x v="10"/>
    <s v="Maya Pratama"/>
    <x v="45"/>
    <x v="2"/>
    <x v="3"/>
    <x v="5"/>
    <x v="0"/>
    <n v="1"/>
    <x v="449"/>
    <n v="25000"/>
    <x v="0"/>
    <x v="0"/>
    <x v="0"/>
    <x v="0"/>
  </r>
  <r>
    <s v="TXN-0456"/>
    <x v="170"/>
    <s v="Bima Permata"/>
    <x v="90"/>
    <x v="3"/>
    <x v="0"/>
    <x v="1"/>
    <x v="3"/>
    <n v="6"/>
    <x v="450"/>
    <n v="0"/>
    <x v="0"/>
    <x v="2"/>
    <x v="0"/>
    <x v="1"/>
  </r>
  <r>
    <s v="TXN-0457"/>
    <x v="144"/>
    <s v="Bima Santoso"/>
    <x v="168"/>
    <x v="3"/>
    <x v="0"/>
    <x v="5"/>
    <x v="4"/>
    <n v="3"/>
    <x v="451"/>
    <n v="35000"/>
    <x v="0"/>
    <x v="2"/>
    <x v="1"/>
    <x v="0"/>
  </r>
  <r>
    <s v="TXN-0458"/>
    <x v="205"/>
    <s v="Dimas Wijaya"/>
    <x v="95"/>
    <x v="2"/>
    <x v="0"/>
    <x v="5"/>
    <x v="1"/>
    <n v="5"/>
    <x v="452"/>
    <n v="25000"/>
    <x v="0"/>
    <x v="0"/>
    <x v="1"/>
    <x v="0"/>
  </r>
  <r>
    <s v="TXN-0459"/>
    <x v="120"/>
    <s v="Citra Permata"/>
    <x v="71"/>
    <x v="2"/>
    <x v="2"/>
    <x v="1"/>
    <x v="2"/>
    <n v="1"/>
    <x v="453"/>
    <n v="0"/>
    <x v="2"/>
    <x v="3"/>
    <x v="1"/>
    <x v="1"/>
  </r>
  <r>
    <s v="TXN-0460"/>
    <x v="151"/>
    <s v="Dimas Putri"/>
    <x v="169"/>
    <x v="2"/>
    <x v="0"/>
    <x v="5"/>
    <x v="3"/>
    <n v="4"/>
    <x v="454"/>
    <n v="50000"/>
    <x v="0"/>
    <x v="2"/>
    <x v="1"/>
    <x v="0"/>
  </r>
  <r>
    <s v="TXN-0461"/>
    <x v="84"/>
    <s v="Citra Putri"/>
    <x v="28"/>
    <x v="0"/>
    <x v="2"/>
    <x v="3"/>
    <x v="1"/>
    <n v="3"/>
    <x v="455"/>
    <n v="35000"/>
    <x v="0"/>
    <x v="2"/>
    <x v="0"/>
    <x v="0"/>
  </r>
  <r>
    <s v="TXN-0462"/>
    <x v="178"/>
    <s v="Rizky Dewi"/>
    <x v="37"/>
    <x v="2"/>
    <x v="1"/>
    <x v="2"/>
    <x v="1"/>
    <n v="1"/>
    <x v="59"/>
    <n v="50000"/>
    <x v="3"/>
    <x v="0"/>
    <x v="1"/>
    <x v="3"/>
  </r>
  <r>
    <s v="TXN-0463"/>
    <x v="111"/>
    <s v="Maya Lestari"/>
    <x v="113"/>
    <x v="0"/>
    <x v="0"/>
    <x v="0"/>
    <x v="3"/>
    <n v="7"/>
    <x v="456"/>
    <n v="15000"/>
    <x v="3"/>
    <x v="0"/>
    <x v="0"/>
    <x v="0"/>
  </r>
  <r>
    <s v="TXN-0464"/>
    <x v="29"/>
    <s v="Rizky Permata"/>
    <x v="106"/>
    <x v="0"/>
    <x v="1"/>
    <x v="2"/>
    <x v="2"/>
    <n v="5"/>
    <x v="457"/>
    <n v="35000"/>
    <x v="2"/>
    <x v="3"/>
    <x v="1"/>
    <x v="0"/>
  </r>
  <r>
    <s v="TXN-0465"/>
    <x v="29"/>
    <s v="Rizky Permata"/>
    <x v="110"/>
    <x v="0"/>
    <x v="3"/>
    <x v="2"/>
    <x v="2"/>
    <n v="6"/>
    <x v="458"/>
    <n v="50000"/>
    <x v="3"/>
    <x v="0"/>
    <x v="1"/>
    <x v="0"/>
  </r>
  <r>
    <s v="TXN-0466"/>
    <x v="123"/>
    <s v="Citra Saputra"/>
    <x v="116"/>
    <x v="1"/>
    <x v="1"/>
    <x v="3"/>
    <x v="3"/>
    <n v="4"/>
    <x v="459"/>
    <n v="50000"/>
    <x v="3"/>
    <x v="0"/>
    <x v="1"/>
    <x v="0"/>
  </r>
  <r>
    <s v="TXN-0467"/>
    <x v="202"/>
    <s v="Sari Wijaya"/>
    <x v="47"/>
    <x v="1"/>
    <x v="2"/>
    <x v="3"/>
    <x v="1"/>
    <n v="1"/>
    <x v="460"/>
    <n v="0"/>
    <x v="0"/>
    <x v="0"/>
    <x v="0"/>
    <x v="1"/>
  </r>
  <r>
    <s v="TXN-0468"/>
    <x v="89"/>
    <s v="Citra Permata"/>
    <x v="170"/>
    <x v="2"/>
    <x v="3"/>
    <x v="5"/>
    <x v="2"/>
    <n v="6"/>
    <x v="461"/>
    <n v="15000"/>
    <x v="0"/>
    <x v="3"/>
    <x v="0"/>
    <x v="0"/>
  </r>
  <r>
    <s v="TXN-0469"/>
    <x v="164"/>
    <s v="Alya Dewi"/>
    <x v="168"/>
    <x v="2"/>
    <x v="0"/>
    <x v="4"/>
    <x v="0"/>
    <n v="3"/>
    <x v="462"/>
    <n v="35000"/>
    <x v="0"/>
    <x v="0"/>
    <x v="0"/>
    <x v="0"/>
  </r>
  <r>
    <s v="TXN-0470"/>
    <x v="43"/>
    <s v="Bima Putri"/>
    <x v="89"/>
    <x v="1"/>
    <x v="0"/>
    <x v="0"/>
    <x v="1"/>
    <n v="5"/>
    <x v="463"/>
    <n v="50000"/>
    <x v="1"/>
    <x v="1"/>
    <x v="0"/>
    <x v="0"/>
  </r>
  <r>
    <s v="TXN-0471"/>
    <x v="206"/>
    <s v="Rizky Saputra"/>
    <x v="107"/>
    <x v="0"/>
    <x v="2"/>
    <x v="1"/>
    <x v="3"/>
    <n v="7"/>
    <x v="464"/>
    <n v="0"/>
    <x v="3"/>
    <x v="3"/>
    <x v="0"/>
    <x v="1"/>
  </r>
  <r>
    <s v="TXN-0472"/>
    <x v="48"/>
    <s v="Nadia Putri"/>
    <x v="12"/>
    <x v="0"/>
    <x v="1"/>
    <x v="0"/>
    <x v="3"/>
    <n v="1"/>
    <x v="465"/>
    <n v="15000"/>
    <x v="0"/>
    <x v="0"/>
    <x v="1"/>
    <x v="0"/>
  </r>
  <r>
    <s v="TXN-0473"/>
    <x v="201"/>
    <s v="Dimas Santoso"/>
    <x v="128"/>
    <x v="0"/>
    <x v="3"/>
    <x v="1"/>
    <x v="2"/>
    <n v="1"/>
    <x v="466"/>
    <n v="15000"/>
    <x v="0"/>
    <x v="3"/>
    <x v="1"/>
    <x v="0"/>
  </r>
  <r>
    <s v="TXN-0474"/>
    <x v="19"/>
    <s v="Alya Lestari"/>
    <x v="24"/>
    <x v="1"/>
    <x v="2"/>
    <x v="1"/>
    <x v="0"/>
    <n v="2"/>
    <x v="467"/>
    <n v="25000"/>
    <x v="0"/>
    <x v="1"/>
    <x v="0"/>
    <x v="0"/>
  </r>
  <r>
    <s v="TXN-0475"/>
    <x v="90"/>
    <s v="Nadia Permata"/>
    <x v="11"/>
    <x v="0"/>
    <x v="0"/>
    <x v="3"/>
    <x v="2"/>
    <n v="4"/>
    <x v="468"/>
    <n v="35000"/>
    <x v="0"/>
    <x v="2"/>
    <x v="0"/>
    <x v="0"/>
  </r>
  <r>
    <s v="TXN-0476"/>
    <x v="180"/>
    <s v="Rizky Dewi"/>
    <x v="106"/>
    <x v="1"/>
    <x v="3"/>
    <x v="3"/>
    <x v="3"/>
    <n v="3"/>
    <x v="469"/>
    <n v="0"/>
    <x v="0"/>
    <x v="2"/>
    <x v="1"/>
    <x v="1"/>
  </r>
  <r>
    <s v="TXN-0477"/>
    <x v="121"/>
    <s v="Fajar Wijaya"/>
    <x v="141"/>
    <x v="3"/>
    <x v="3"/>
    <x v="5"/>
    <x v="0"/>
    <n v="2"/>
    <x v="470"/>
    <n v="25000"/>
    <x v="1"/>
    <x v="1"/>
    <x v="0"/>
    <x v="0"/>
  </r>
  <r>
    <s v="TXN-0478"/>
    <x v="71"/>
    <s v="Sari Permata"/>
    <x v="122"/>
    <x v="1"/>
    <x v="0"/>
    <x v="5"/>
    <x v="0"/>
    <n v="4"/>
    <x v="471"/>
    <n v="25000"/>
    <x v="0"/>
    <x v="3"/>
    <x v="1"/>
    <x v="0"/>
  </r>
  <r>
    <s v="TXN-0479"/>
    <x v="207"/>
    <s v="Nadia Wijaya"/>
    <x v="92"/>
    <x v="0"/>
    <x v="3"/>
    <x v="2"/>
    <x v="3"/>
    <n v="1"/>
    <x v="472"/>
    <n v="35000"/>
    <x v="0"/>
    <x v="0"/>
    <x v="0"/>
    <x v="0"/>
  </r>
  <r>
    <s v="TXN-0480"/>
    <x v="98"/>
    <s v="Sari Putri"/>
    <x v="115"/>
    <x v="4"/>
    <x v="1"/>
    <x v="0"/>
    <x v="1"/>
    <n v="4"/>
    <x v="473"/>
    <n v="25000"/>
    <x v="0"/>
    <x v="1"/>
    <x v="0"/>
    <x v="0"/>
  </r>
  <r>
    <s v="TXN-0481"/>
    <x v="124"/>
    <s v="Nadia Pratama"/>
    <x v="130"/>
    <x v="0"/>
    <x v="3"/>
    <x v="0"/>
    <x v="1"/>
    <n v="3"/>
    <x v="474"/>
    <n v="50000"/>
    <x v="0"/>
    <x v="2"/>
    <x v="0"/>
    <x v="0"/>
  </r>
  <r>
    <s v="TXN-0482"/>
    <x v="160"/>
    <s v="Sari Putri"/>
    <x v="111"/>
    <x v="3"/>
    <x v="0"/>
    <x v="3"/>
    <x v="1"/>
    <n v="2"/>
    <x v="475"/>
    <n v="0"/>
    <x v="0"/>
    <x v="2"/>
    <x v="1"/>
    <x v="1"/>
  </r>
  <r>
    <s v="TXN-0483"/>
    <x v="208"/>
    <s v="Rizky Wijaya"/>
    <x v="79"/>
    <x v="4"/>
    <x v="1"/>
    <x v="2"/>
    <x v="2"/>
    <n v="4"/>
    <x v="476"/>
    <n v="50000"/>
    <x v="0"/>
    <x v="2"/>
    <x v="0"/>
    <x v="0"/>
  </r>
  <r>
    <s v="TXN-0484"/>
    <x v="209"/>
    <s v="Sari Santoso"/>
    <x v="38"/>
    <x v="3"/>
    <x v="0"/>
    <x v="2"/>
    <x v="0"/>
    <n v="4"/>
    <x v="477"/>
    <n v="35000"/>
    <x v="1"/>
    <x v="0"/>
    <x v="0"/>
    <x v="0"/>
  </r>
  <r>
    <s v="TXN-0485"/>
    <x v="210"/>
    <s v="Sari Putri"/>
    <x v="45"/>
    <x v="2"/>
    <x v="1"/>
    <x v="3"/>
    <x v="2"/>
    <m/>
    <x v="478"/>
    <n v="35000"/>
    <x v="0"/>
    <x v="3"/>
    <x v="0"/>
    <x v="6"/>
  </r>
  <r>
    <s v="TXN-0486"/>
    <x v="200"/>
    <s v="Bima Dewi"/>
    <x v="54"/>
    <x v="4"/>
    <x v="0"/>
    <x v="1"/>
    <x v="2"/>
    <n v="6"/>
    <x v="479"/>
    <n v="0"/>
    <x v="0"/>
    <x v="0"/>
    <x v="1"/>
    <x v="1"/>
  </r>
  <r>
    <s v="TXN-0487"/>
    <x v="207"/>
    <s v="Nadia Wijaya"/>
    <x v="22"/>
    <x v="0"/>
    <x v="0"/>
    <x v="5"/>
    <x v="3"/>
    <n v="2"/>
    <x v="480"/>
    <n v="50000"/>
    <x v="2"/>
    <x v="3"/>
    <x v="0"/>
    <x v="0"/>
  </r>
  <r>
    <s v="TXN-0488"/>
    <x v="14"/>
    <s v="Rizky Dewi"/>
    <x v="149"/>
    <x v="2"/>
    <x v="3"/>
    <x v="1"/>
    <x v="1"/>
    <n v="1"/>
    <x v="481"/>
    <n v="15000"/>
    <x v="0"/>
    <x v="2"/>
    <x v="0"/>
    <x v="0"/>
  </r>
  <r>
    <s v="TXN-0489"/>
    <x v="88"/>
    <s v="Maya Saputra"/>
    <x v="2"/>
    <x v="0"/>
    <x v="3"/>
    <x v="0"/>
    <x v="2"/>
    <n v="1"/>
    <x v="482"/>
    <n v="25000"/>
    <x v="0"/>
    <x v="3"/>
    <x v="0"/>
    <x v="0"/>
  </r>
  <r>
    <s v="TXN-0490"/>
    <x v="158"/>
    <s v="Bima Putri"/>
    <x v="86"/>
    <x v="1"/>
    <x v="3"/>
    <x v="4"/>
    <x v="4"/>
    <n v="7"/>
    <x v="483"/>
    <n v="25000"/>
    <x v="0"/>
    <x v="2"/>
    <x v="1"/>
    <x v="0"/>
  </r>
  <r>
    <s v="TXN-0491"/>
    <x v="211"/>
    <s v="Dimas Dewi"/>
    <x v="147"/>
    <x v="4"/>
    <x v="2"/>
    <x v="1"/>
    <x v="2"/>
    <n v="7"/>
    <x v="484"/>
    <n v="15000"/>
    <x v="0"/>
    <x v="2"/>
    <x v="0"/>
    <x v="0"/>
  </r>
  <r>
    <s v="TXN-0492"/>
    <x v="11"/>
    <s v="Fajar Dewi"/>
    <x v="5"/>
    <x v="1"/>
    <x v="3"/>
    <x v="5"/>
    <x v="1"/>
    <n v="3"/>
    <x v="485"/>
    <n v="0"/>
    <x v="2"/>
    <x v="3"/>
    <x v="0"/>
    <x v="1"/>
  </r>
  <r>
    <s v="TXN-0493"/>
    <x v="127"/>
    <s v="Maya Saputra"/>
    <x v="73"/>
    <x v="1"/>
    <x v="0"/>
    <x v="1"/>
    <x v="2"/>
    <n v="2"/>
    <x v="486"/>
    <n v="50000"/>
    <x v="0"/>
    <x v="1"/>
    <x v="0"/>
    <x v="0"/>
  </r>
  <r>
    <s v="TXN-0494"/>
    <x v="174"/>
    <s v="Citra Wijaya"/>
    <x v="36"/>
    <x v="2"/>
    <x v="3"/>
    <x v="3"/>
    <x v="3"/>
    <n v="7"/>
    <x v="487"/>
    <n v="35000"/>
    <x v="0"/>
    <x v="0"/>
    <x v="0"/>
    <x v="2"/>
  </r>
  <r>
    <s v="TXN-0495"/>
    <x v="25"/>
    <s v="Maya Santoso"/>
    <x v="130"/>
    <x v="1"/>
    <x v="1"/>
    <x v="4"/>
    <x v="0"/>
    <n v="5"/>
    <x v="488"/>
    <n v="0"/>
    <x v="0"/>
    <x v="3"/>
    <x v="0"/>
    <x v="1"/>
  </r>
  <r>
    <s v="TXN-0496"/>
    <x v="184"/>
    <s v="Fajar Saputra"/>
    <x v="117"/>
    <x v="4"/>
    <x v="2"/>
    <x v="0"/>
    <x v="3"/>
    <n v="7"/>
    <x v="489"/>
    <n v="50000"/>
    <x v="0"/>
    <x v="0"/>
    <x v="1"/>
    <x v="0"/>
  </r>
  <r>
    <s v="TXN-0497"/>
    <x v="95"/>
    <s v="Citra Pratama"/>
    <x v="66"/>
    <x v="2"/>
    <x v="2"/>
    <x v="1"/>
    <x v="1"/>
    <n v="4"/>
    <x v="490"/>
    <n v="50000"/>
    <x v="1"/>
    <x v="0"/>
    <x v="0"/>
    <x v="0"/>
  </r>
  <r>
    <s v="TXN-0498"/>
    <x v="212"/>
    <s v="Rizky Pratama"/>
    <x v="116"/>
    <x v="3"/>
    <x v="3"/>
    <x v="2"/>
    <x v="2"/>
    <n v="6"/>
    <x v="491"/>
    <n v="35000"/>
    <x v="0"/>
    <x v="0"/>
    <x v="0"/>
    <x v="0"/>
  </r>
  <r>
    <s v="TXN-0499"/>
    <x v="1"/>
    <s v="Rizky Permata"/>
    <x v="3"/>
    <x v="3"/>
    <x v="3"/>
    <x v="2"/>
    <x v="1"/>
    <n v="6"/>
    <x v="492"/>
    <n v="50000"/>
    <x v="0"/>
    <x v="2"/>
    <x v="1"/>
    <x v="0"/>
  </r>
  <r>
    <s v="TXN-0500"/>
    <x v="213"/>
    <s v="Alya Putri"/>
    <x v="64"/>
    <x v="3"/>
    <x v="2"/>
    <x v="0"/>
    <x v="3"/>
    <n v="6"/>
    <x v="493"/>
    <n v="15000"/>
    <x v="1"/>
    <x v="2"/>
    <x v="0"/>
    <x v="0"/>
  </r>
  <r>
    <s v="TXN-0501"/>
    <x v="184"/>
    <s v="Fajar Saputra"/>
    <x v="90"/>
    <x v="2"/>
    <x v="0"/>
    <x v="1"/>
    <x v="4"/>
    <n v="2"/>
    <x v="494"/>
    <n v="15000"/>
    <x v="0"/>
    <x v="0"/>
    <x v="0"/>
    <x v="0"/>
  </r>
  <r>
    <s v="TXN-0502"/>
    <x v="38"/>
    <s v="Rizky Saputra"/>
    <x v="52"/>
    <x v="0"/>
    <x v="1"/>
    <x v="1"/>
    <x v="1"/>
    <n v="6"/>
    <x v="495"/>
    <n v="25000"/>
    <x v="0"/>
    <x v="3"/>
    <x v="1"/>
    <x v="0"/>
  </r>
  <r>
    <s v="TXN-0503"/>
    <x v="17"/>
    <s v="Alya Wijaya"/>
    <x v="51"/>
    <x v="4"/>
    <x v="1"/>
    <x v="5"/>
    <x v="2"/>
    <n v="4"/>
    <x v="496"/>
    <n v="15000"/>
    <x v="0"/>
    <x v="1"/>
    <x v="0"/>
    <x v="0"/>
  </r>
  <r>
    <s v="TXN-0504"/>
    <x v="83"/>
    <s v="Bima Lestari"/>
    <x v="161"/>
    <x v="2"/>
    <x v="1"/>
    <x v="0"/>
    <x v="2"/>
    <n v="4"/>
    <x v="497"/>
    <n v="50000"/>
    <x v="0"/>
    <x v="2"/>
    <x v="1"/>
    <x v="0"/>
  </r>
  <r>
    <s v="TXN-0505"/>
    <x v="11"/>
    <s v="Fajar Dewi"/>
    <x v="73"/>
    <x v="1"/>
    <x v="0"/>
    <x v="1"/>
    <x v="4"/>
    <n v="6"/>
    <x v="498"/>
    <n v="50000"/>
    <x v="0"/>
    <x v="0"/>
    <x v="1"/>
    <x v="0"/>
  </r>
  <r>
    <s v="TXN-0506"/>
    <x v="122"/>
    <s v="Fajar Saputra"/>
    <x v="39"/>
    <x v="2"/>
    <x v="3"/>
    <x v="5"/>
    <x v="4"/>
    <n v="6"/>
    <x v="499"/>
    <n v="0"/>
    <x v="0"/>
    <x v="2"/>
    <x v="0"/>
    <x v="1"/>
  </r>
  <r>
    <s v="TXN-0507"/>
    <x v="83"/>
    <s v="Bima Lestari"/>
    <x v="15"/>
    <x v="3"/>
    <x v="1"/>
    <x v="5"/>
    <x v="2"/>
    <n v="6"/>
    <x v="500"/>
    <n v="50000"/>
    <x v="3"/>
    <x v="2"/>
    <x v="1"/>
    <x v="0"/>
  </r>
  <r>
    <s v="TXN-0508"/>
    <x v="25"/>
    <s v="Maya Santoso"/>
    <x v="29"/>
    <x v="0"/>
    <x v="2"/>
    <x v="2"/>
    <x v="1"/>
    <n v="3"/>
    <x v="501"/>
    <n v="0"/>
    <x v="0"/>
    <x v="1"/>
    <x v="0"/>
    <x v="1"/>
  </r>
  <r>
    <s v="TXN-0509"/>
    <x v="76"/>
    <s v="Maya Pratama"/>
    <x v="49"/>
    <x v="1"/>
    <x v="0"/>
    <x v="0"/>
    <x v="4"/>
    <n v="5"/>
    <x v="502"/>
    <n v="15000"/>
    <x v="0"/>
    <x v="3"/>
    <x v="0"/>
    <x v="0"/>
  </r>
  <r>
    <s v="TXN-0510"/>
    <x v="157"/>
    <s v="Maya Permata"/>
    <x v="106"/>
    <x v="2"/>
    <x v="2"/>
    <x v="2"/>
    <x v="3"/>
    <n v="6"/>
    <x v="503"/>
    <n v="15000"/>
    <x v="1"/>
    <x v="1"/>
    <x v="1"/>
    <x v="0"/>
  </r>
  <r>
    <s v="TXN-0511"/>
    <x v="5"/>
    <s v="Sari Wijaya"/>
    <x v="156"/>
    <x v="4"/>
    <x v="2"/>
    <x v="5"/>
    <x v="4"/>
    <n v="1"/>
    <x v="504"/>
    <n v="15000"/>
    <x v="1"/>
    <x v="1"/>
    <x v="1"/>
    <x v="0"/>
  </r>
  <r>
    <s v="TXN-0512"/>
    <x v="73"/>
    <s v="Fajar Lestari"/>
    <x v="90"/>
    <x v="3"/>
    <x v="0"/>
    <x v="0"/>
    <x v="2"/>
    <n v="2"/>
    <x v="505"/>
    <n v="0"/>
    <x v="0"/>
    <x v="0"/>
    <x v="0"/>
    <x v="1"/>
  </r>
  <r>
    <s v="TXN-0513"/>
    <x v="175"/>
    <s v="Dimas Saputra"/>
    <x v="112"/>
    <x v="1"/>
    <x v="2"/>
    <x v="4"/>
    <x v="3"/>
    <n v="5"/>
    <x v="506"/>
    <n v="0"/>
    <x v="0"/>
    <x v="0"/>
    <x v="0"/>
    <x v="1"/>
  </r>
  <r>
    <s v="TXN-0514"/>
    <x v="213"/>
    <s v="Alya Putri"/>
    <x v="44"/>
    <x v="1"/>
    <x v="3"/>
    <x v="4"/>
    <x v="3"/>
    <n v="5"/>
    <x v="507"/>
    <n v="35000"/>
    <x v="0"/>
    <x v="0"/>
    <x v="1"/>
    <x v="0"/>
  </r>
  <r>
    <s v="TXN-0515"/>
    <x v="214"/>
    <s v="Rizky Pratama"/>
    <x v="30"/>
    <x v="3"/>
    <x v="2"/>
    <x v="3"/>
    <x v="2"/>
    <n v="1"/>
    <x v="508"/>
    <n v="15000"/>
    <x v="0"/>
    <x v="3"/>
    <x v="0"/>
    <x v="0"/>
  </r>
  <r>
    <s v="TXN-0516"/>
    <x v="211"/>
    <s v="Dimas Dewi"/>
    <x v="17"/>
    <x v="4"/>
    <x v="1"/>
    <x v="1"/>
    <x v="3"/>
    <n v="6"/>
    <x v="509"/>
    <n v="15000"/>
    <x v="0"/>
    <x v="2"/>
    <x v="1"/>
    <x v="0"/>
  </r>
  <r>
    <s v="TXN-0517"/>
    <x v="106"/>
    <s v="Rizky Putri"/>
    <x v="87"/>
    <x v="0"/>
    <x v="0"/>
    <x v="4"/>
    <x v="0"/>
    <n v="1"/>
    <x v="510"/>
    <n v="0"/>
    <x v="0"/>
    <x v="0"/>
    <x v="0"/>
    <x v="1"/>
  </r>
  <r>
    <s v="TXN-0518"/>
    <x v="4"/>
    <s v="Sari Saputra"/>
    <x v="26"/>
    <x v="3"/>
    <x v="0"/>
    <x v="0"/>
    <x v="4"/>
    <n v="4"/>
    <x v="511"/>
    <n v="50000"/>
    <x v="0"/>
    <x v="0"/>
    <x v="0"/>
    <x v="0"/>
  </r>
  <r>
    <s v="TXN-0519"/>
    <x v="29"/>
    <s v="Rizky Permata"/>
    <x v="89"/>
    <x v="1"/>
    <x v="3"/>
    <x v="4"/>
    <x v="2"/>
    <n v="7"/>
    <x v="512"/>
    <n v="50000"/>
    <x v="0"/>
    <x v="0"/>
    <x v="1"/>
    <x v="0"/>
  </r>
  <r>
    <s v="TXN-0520"/>
    <x v="24"/>
    <s v="Bima Wijaya"/>
    <x v="104"/>
    <x v="0"/>
    <x v="3"/>
    <x v="5"/>
    <x v="3"/>
    <n v="5"/>
    <x v="513"/>
    <n v="25000"/>
    <x v="0"/>
    <x v="2"/>
    <x v="0"/>
    <x v="0"/>
  </r>
  <r>
    <s v="TXN-0521"/>
    <x v="178"/>
    <s v="Rizky Dewi"/>
    <x v="111"/>
    <x v="3"/>
    <x v="2"/>
    <x v="3"/>
    <x v="3"/>
    <n v="6"/>
    <x v="514"/>
    <n v="15000"/>
    <x v="0"/>
    <x v="2"/>
    <x v="1"/>
    <x v="0"/>
  </r>
  <r>
    <s v="TXN-0522"/>
    <x v="3"/>
    <s v="Dimas Lestari"/>
    <x v="125"/>
    <x v="0"/>
    <x v="1"/>
    <x v="0"/>
    <x v="3"/>
    <n v="4"/>
    <x v="515"/>
    <n v="25000"/>
    <x v="0"/>
    <x v="2"/>
    <x v="0"/>
    <x v="0"/>
  </r>
  <r>
    <s v="TXN-0523"/>
    <x v="28"/>
    <s v="Citra Dewi"/>
    <x v="18"/>
    <x v="2"/>
    <x v="2"/>
    <x v="3"/>
    <x v="0"/>
    <n v="5"/>
    <x v="516"/>
    <n v="25000"/>
    <x v="0"/>
    <x v="3"/>
    <x v="1"/>
    <x v="0"/>
  </r>
  <r>
    <s v="TXN-0524"/>
    <x v="42"/>
    <s v="Maya Pratama"/>
    <x v="115"/>
    <x v="1"/>
    <x v="0"/>
    <x v="3"/>
    <x v="3"/>
    <n v="5"/>
    <x v="517"/>
    <n v="15000"/>
    <x v="0"/>
    <x v="1"/>
    <x v="1"/>
    <x v="0"/>
  </r>
  <r>
    <s v="TXN-0525"/>
    <x v="92"/>
    <s v="Raka Santoso"/>
    <x v="63"/>
    <x v="2"/>
    <x v="1"/>
    <x v="0"/>
    <x v="0"/>
    <n v="7"/>
    <x v="518"/>
    <n v="50000"/>
    <x v="0"/>
    <x v="2"/>
    <x v="0"/>
    <x v="0"/>
  </r>
  <r>
    <s v="TXN-0526"/>
    <x v="209"/>
    <s v="Sari Santoso"/>
    <x v="1"/>
    <x v="1"/>
    <x v="0"/>
    <x v="0"/>
    <x v="4"/>
    <n v="6"/>
    <x v="519"/>
    <n v="50000"/>
    <x v="0"/>
    <x v="0"/>
    <x v="0"/>
    <x v="0"/>
  </r>
  <r>
    <s v="TXN-0527"/>
    <x v="120"/>
    <s v="Citra Permata"/>
    <x v="147"/>
    <x v="3"/>
    <x v="1"/>
    <x v="2"/>
    <x v="1"/>
    <n v="6"/>
    <x v="520"/>
    <n v="25000"/>
    <x v="0"/>
    <x v="0"/>
    <x v="0"/>
    <x v="0"/>
  </r>
  <r>
    <s v="TXN-0528"/>
    <x v="202"/>
    <s v="Sari Wijaya"/>
    <x v="160"/>
    <x v="0"/>
    <x v="3"/>
    <x v="2"/>
    <x v="4"/>
    <n v="3"/>
    <x v="521"/>
    <n v="15000"/>
    <x v="0"/>
    <x v="4"/>
    <x v="0"/>
    <x v="5"/>
  </r>
  <r>
    <s v="TXN-0529"/>
    <x v="53"/>
    <s v="Bima Lestari"/>
    <x v="15"/>
    <x v="4"/>
    <x v="2"/>
    <x v="3"/>
    <x v="1"/>
    <n v="4"/>
    <x v="59"/>
    <n v="35000"/>
    <x v="1"/>
    <x v="3"/>
    <x v="0"/>
    <x v="3"/>
  </r>
  <r>
    <s v="TXN-0530"/>
    <x v="88"/>
    <s v="Maya Saputra"/>
    <x v="128"/>
    <x v="2"/>
    <x v="2"/>
    <x v="1"/>
    <x v="2"/>
    <n v="4"/>
    <x v="522"/>
    <n v="0"/>
    <x v="0"/>
    <x v="2"/>
    <x v="1"/>
    <x v="1"/>
  </r>
  <r>
    <s v="TXN-0531"/>
    <x v="131"/>
    <s v="Alya Putri"/>
    <x v="29"/>
    <x v="2"/>
    <x v="1"/>
    <x v="5"/>
    <x v="3"/>
    <n v="6"/>
    <x v="523"/>
    <n v="50000"/>
    <x v="3"/>
    <x v="2"/>
    <x v="1"/>
    <x v="0"/>
  </r>
  <r>
    <s v="TXN-0532"/>
    <x v="169"/>
    <s v="Nadia Lestari"/>
    <x v="74"/>
    <x v="0"/>
    <x v="1"/>
    <x v="5"/>
    <x v="3"/>
    <n v="4"/>
    <x v="524"/>
    <n v="25000"/>
    <x v="0"/>
    <x v="0"/>
    <x v="0"/>
    <x v="0"/>
  </r>
  <r>
    <s v="TXN-0533"/>
    <x v="178"/>
    <s v="Rizky Dewi"/>
    <x v="78"/>
    <x v="2"/>
    <x v="0"/>
    <x v="4"/>
    <x v="1"/>
    <n v="4"/>
    <x v="525"/>
    <n v="15000"/>
    <x v="0"/>
    <x v="2"/>
    <x v="1"/>
    <x v="0"/>
  </r>
  <r>
    <s v="TXN-0534"/>
    <x v="215"/>
    <s v="Raka Saputra"/>
    <x v="141"/>
    <x v="1"/>
    <x v="2"/>
    <x v="2"/>
    <x v="0"/>
    <n v="6"/>
    <x v="526"/>
    <n v="50000"/>
    <x v="0"/>
    <x v="2"/>
    <x v="1"/>
    <x v="0"/>
  </r>
  <r>
    <s v="TXN-0535"/>
    <x v="118"/>
    <s v="Raka Pratama"/>
    <x v="113"/>
    <x v="1"/>
    <x v="2"/>
    <x v="1"/>
    <x v="2"/>
    <n v="4"/>
    <x v="527"/>
    <n v="15000"/>
    <x v="0"/>
    <x v="3"/>
    <x v="0"/>
    <x v="0"/>
  </r>
  <r>
    <s v="TXN-0536"/>
    <x v="67"/>
    <s v="Fajar Wijaya"/>
    <x v="34"/>
    <x v="4"/>
    <x v="0"/>
    <x v="1"/>
    <x v="2"/>
    <n v="5"/>
    <x v="528"/>
    <n v="15000"/>
    <x v="0"/>
    <x v="2"/>
    <x v="0"/>
    <x v="0"/>
  </r>
  <r>
    <s v="TXN-0537"/>
    <x v="175"/>
    <s v="Dimas Saputra"/>
    <x v="42"/>
    <x v="1"/>
    <x v="3"/>
    <x v="0"/>
    <x v="1"/>
    <n v="4"/>
    <x v="529"/>
    <n v="15000"/>
    <x v="0"/>
    <x v="2"/>
    <x v="1"/>
    <x v="0"/>
  </r>
  <r>
    <s v="TXN-0538"/>
    <x v="37"/>
    <s v="Raka Wijaya"/>
    <x v="71"/>
    <x v="4"/>
    <x v="2"/>
    <x v="5"/>
    <x v="0"/>
    <n v="4"/>
    <x v="530"/>
    <n v="25000"/>
    <x v="0"/>
    <x v="0"/>
    <x v="0"/>
    <x v="0"/>
  </r>
  <r>
    <s v="TXN-0539"/>
    <x v="119"/>
    <s v="Bima Permata"/>
    <x v="163"/>
    <x v="3"/>
    <x v="2"/>
    <x v="4"/>
    <x v="0"/>
    <n v="7"/>
    <x v="531"/>
    <n v="35000"/>
    <x v="0"/>
    <x v="0"/>
    <x v="0"/>
    <x v="0"/>
  </r>
  <r>
    <s v="TXN-0540"/>
    <x v="1"/>
    <s v="Rizky Permata"/>
    <x v="15"/>
    <x v="1"/>
    <x v="2"/>
    <x v="4"/>
    <x v="3"/>
    <n v="6"/>
    <x v="532"/>
    <n v="35000"/>
    <x v="0"/>
    <x v="0"/>
    <x v="0"/>
    <x v="0"/>
  </r>
  <r>
    <s v="TXN-0541"/>
    <x v="209"/>
    <s v="Sari Santoso"/>
    <x v="171"/>
    <x v="1"/>
    <x v="0"/>
    <x v="1"/>
    <x v="3"/>
    <n v="7"/>
    <x v="533"/>
    <n v="50000"/>
    <x v="1"/>
    <x v="3"/>
    <x v="1"/>
    <x v="0"/>
  </r>
  <r>
    <s v="TXN-0542"/>
    <x v="8"/>
    <s v="Citra Wijaya"/>
    <x v="107"/>
    <x v="0"/>
    <x v="3"/>
    <x v="0"/>
    <x v="4"/>
    <n v="7"/>
    <x v="534"/>
    <n v="50000"/>
    <x v="0"/>
    <x v="0"/>
    <x v="0"/>
    <x v="0"/>
  </r>
  <r>
    <s v="TXN-0543"/>
    <x v="189"/>
    <s v="Rizky Dewi"/>
    <x v="27"/>
    <x v="1"/>
    <x v="2"/>
    <x v="0"/>
    <x v="2"/>
    <n v="1"/>
    <x v="535"/>
    <n v="35000"/>
    <x v="0"/>
    <x v="2"/>
    <x v="0"/>
    <x v="0"/>
  </r>
  <r>
    <s v="TXN-0544"/>
    <x v="216"/>
    <s v="Dimas Permata"/>
    <x v="56"/>
    <x v="4"/>
    <x v="2"/>
    <x v="4"/>
    <x v="1"/>
    <n v="7"/>
    <x v="536"/>
    <n v="25000"/>
    <x v="1"/>
    <x v="0"/>
    <x v="0"/>
    <x v="0"/>
  </r>
  <r>
    <s v="TXN-0545"/>
    <x v="69"/>
    <s v="Raka Permata"/>
    <x v="171"/>
    <x v="1"/>
    <x v="1"/>
    <x v="5"/>
    <x v="2"/>
    <n v="1"/>
    <x v="537"/>
    <n v="50000"/>
    <x v="0"/>
    <x v="2"/>
    <x v="1"/>
    <x v="0"/>
  </r>
  <r>
    <s v="TXN-0546"/>
    <x v="1"/>
    <s v="Rizky Permata"/>
    <x v="159"/>
    <x v="2"/>
    <x v="1"/>
    <x v="3"/>
    <x v="4"/>
    <n v="3"/>
    <x v="538"/>
    <n v="35000"/>
    <x v="0"/>
    <x v="0"/>
    <x v="0"/>
    <x v="0"/>
  </r>
  <r>
    <s v="TXN-0547"/>
    <x v="88"/>
    <s v="Maya Saputra"/>
    <x v="42"/>
    <x v="3"/>
    <x v="2"/>
    <x v="1"/>
    <x v="2"/>
    <n v="1"/>
    <x v="539"/>
    <n v="25000"/>
    <x v="0"/>
    <x v="1"/>
    <x v="0"/>
    <x v="0"/>
  </r>
  <r>
    <s v="TXN-0548"/>
    <x v="0"/>
    <s v="Fajar Permata"/>
    <x v="59"/>
    <x v="4"/>
    <x v="3"/>
    <x v="2"/>
    <x v="2"/>
    <n v="4"/>
    <x v="540"/>
    <n v="35000"/>
    <x v="0"/>
    <x v="1"/>
    <x v="1"/>
    <x v="0"/>
  </r>
  <r>
    <s v="TXN-0549"/>
    <x v="170"/>
    <s v="Bima Permata"/>
    <x v="172"/>
    <x v="3"/>
    <x v="0"/>
    <x v="1"/>
    <x v="1"/>
    <n v="5"/>
    <x v="541"/>
    <n v="50000"/>
    <x v="0"/>
    <x v="3"/>
    <x v="1"/>
    <x v="0"/>
  </r>
  <r>
    <s v="TXN-0550"/>
    <x v="49"/>
    <s v="Citra Putri"/>
    <x v="156"/>
    <x v="1"/>
    <x v="1"/>
    <x v="3"/>
    <x v="3"/>
    <n v="3"/>
    <x v="542"/>
    <n v="15000"/>
    <x v="0"/>
    <x v="2"/>
    <x v="0"/>
    <x v="0"/>
  </r>
  <r>
    <s v="TXN-0551"/>
    <x v="19"/>
    <s v="Alya Lestari"/>
    <x v="101"/>
    <x v="4"/>
    <x v="2"/>
    <x v="1"/>
    <x v="3"/>
    <n v="7"/>
    <x v="543"/>
    <n v="0"/>
    <x v="0"/>
    <x v="2"/>
    <x v="1"/>
    <x v="1"/>
  </r>
  <r>
    <s v="TXN-0552"/>
    <x v="139"/>
    <s v="Raka Wijaya"/>
    <x v="164"/>
    <x v="2"/>
    <x v="2"/>
    <x v="1"/>
    <x v="1"/>
    <n v="2"/>
    <x v="544"/>
    <n v="25000"/>
    <x v="0"/>
    <x v="2"/>
    <x v="0"/>
    <x v="0"/>
  </r>
  <r>
    <s v="TXN-0553"/>
    <x v="10"/>
    <s v="Maya Pratama"/>
    <x v="43"/>
    <x v="1"/>
    <x v="1"/>
    <x v="2"/>
    <x v="1"/>
    <n v="1"/>
    <x v="545"/>
    <n v="50000"/>
    <x v="0"/>
    <x v="2"/>
    <x v="1"/>
    <x v="0"/>
  </r>
  <r>
    <s v="TXN-0554"/>
    <x v="33"/>
    <s v="Fajar Saputra"/>
    <x v="82"/>
    <x v="2"/>
    <x v="3"/>
    <x v="3"/>
    <x v="1"/>
    <n v="3"/>
    <x v="546"/>
    <n v="35000"/>
    <x v="0"/>
    <x v="0"/>
    <x v="0"/>
    <x v="0"/>
  </r>
  <r>
    <s v="TXN-0555"/>
    <x v="101"/>
    <s v="Fajar Saputra"/>
    <x v="22"/>
    <x v="1"/>
    <x v="3"/>
    <x v="5"/>
    <x v="4"/>
    <n v="3"/>
    <x v="547"/>
    <n v="25000"/>
    <x v="0"/>
    <x v="2"/>
    <x v="1"/>
    <x v="0"/>
  </r>
  <r>
    <s v="TXN-0556"/>
    <x v="217"/>
    <s v="Fajar Permata"/>
    <x v="37"/>
    <x v="2"/>
    <x v="2"/>
    <x v="5"/>
    <x v="1"/>
    <n v="4"/>
    <x v="548"/>
    <n v="35000"/>
    <x v="2"/>
    <x v="1"/>
    <x v="1"/>
    <x v="0"/>
  </r>
  <r>
    <s v="TXN-0557"/>
    <x v="148"/>
    <s v="Bima Santoso"/>
    <x v="95"/>
    <x v="2"/>
    <x v="0"/>
    <x v="5"/>
    <x v="0"/>
    <n v="4"/>
    <x v="549"/>
    <n v="0"/>
    <x v="0"/>
    <x v="1"/>
    <x v="0"/>
    <x v="1"/>
  </r>
  <r>
    <s v="TXN-0558"/>
    <x v="218"/>
    <s v="Fajar Santoso"/>
    <x v="101"/>
    <x v="4"/>
    <x v="3"/>
    <x v="3"/>
    <x v="3"/>
    <n v="4"/>
    <x v="550"/>
    <n v="15000"/>
    <x v="3"/>
    <x v="2"/>
    <x v="0"/>
    <x v="0"/>
  </r>
  <r>
    <s v="TXN-0559"/>
    <x v="174"/>
    <s v="Citra Wijaya"/>
    <x v="87"/>
    <x v="0"/>
    <x v="2"/>
    <x v="0"/>
    <x v="2"/>
    <n v="3"/>
    <x v="551"/>
    <n v="35000"/>
    <x v="1"/>
    <x v="1"/>
    <x v="0"/>
    <x v="0"/>
  </r>
  <r>
    <s v="TXN-0560"/>
    <x v="219"/>
    <s v="Fajar Santoso"/>
    <x v="36"/>
    <x v="1"/>
    <x v="2"/>
    <x v="5"/>
    <x v="2"/>
    <n v="4"/>
    <x v="552"/>
    <n v="0"/>
    <x v="0"/>
    <x v="0"/>
    <x v="1"/>
    <x v="4"/>
  </r>
  <r>
    <s v="TXN-0561"/>
    <x v="100"/>
    <s v="Fajar Santoso"/>
    <x v="0"/>
    <x v="3"/>
    <x v="0"/>
    <x v="1"/>
    <x v="0"/>
    <n v="5"/>
    <x v="553"/>
    <n v="0"/>
    <x v="0"/>
    <x v="0"/>
    <x v="1"/>
    <x v="1"/>
  </r>
  <r>
    <s v="TXN-0562"/>
    <x v="111"/>
    <s v="Maya Lestari"/>
    <x v="6"/>
    <x v="1"/>
    <x v="1"/>
    <x v="5"/>
    <x v="1"/>
    <n v="3"/>
    <x v="554"/>
    <n v="0"/>
    <x v="0"/>
    <x v="0"/>
    <x v="0"/>
    <x v="1"/>
  </r>
  <r>
    <s v="TXN-0563"/>
    <x v="41"/>
    <s v="Sari Santoso"/>
    <x v="100"/>
    <x v="4"/>
    <x v="3"/>
    <x v="4"/>
    <x v="0"/>
    <n v="6"/>
    <x v="555"/>
    <n v="35000"/>
    <x v="3"/>
    <x v="2"/>
    <x v="0"/>
    <x v="0"/>
  </r>
  <r>
    <s v="TXN-0564"/>
    <x v="220"/>
    <s v="Raka Dewi"/>
    <x v="103"/>
    <x v="3"/>
    <x v="0"/>
    <x v="5"/>
    <x v="0"/>
    <n v="7"/>
    <x v="556"/>
    <n v="15000"/>
    <x v="0"/>
    <x v="0"/>
    <x v="0"/>
    <x v="0"/>
  </r>
  <r>
    <s v="TXN-0565"/>
    <x v="132"/>
    <s v="Alya Dewi"/>
    <x v="155"/>
    <x v="1"/>
    <x v="2"/>
    <x v="4"/>
    <x v="1"/>
    <n v="6"/>
    <x v="557"/>
    <n v="0"/>
    <x v="0"/>
    <x v="3"/>
    <x v="0"/>
    <x v="1"/>
  </r>
  <r>
    <s v="TXN-0566"/>
    <x v="116"/>
    <s v="Citra Putri"/>
    <x v="121"/>
    <x v="3"/>
    <x v="0"/>
    <x v="2"/>
    <x v="2"/>
    <n v="6"/>
    <x v="558"/>
    <n v="50000"/>
    <x v="2"/>
    <x v="3"/>
    <x v="0"/>
    <x v="0"/>
  </r>
  <r>
    <s v="TXN-0567"/>
    <x v="150"/>
    <s v="Alya Pratama"/>
    <x v="41"/>
    <x v="4"/>
    <x v="3"/>
    <x v="3"/>
    <x v="0"/>
    <n v="7"/>
    <x v="559"/>
    <n v="35000"/>
    <x v="0"/>
    <x v="2"/>
    <x v="0"/>
    <x v="0"/>
  </r>
  <r>
    <s v="TXN-0568"/>
    <x v="14"/>
    <s v="Rizky Dewi"/>
    <x v="140"/>
    <x v="3"/>
    <x v="2"/>
    <x v="3"/>
    <x v="1"/>
    <n v="2"/>
    <x v="560"/>
    <n v="15000"/>
    <x v="1"/>
    <x v="0"/>
    <x v="1"/>
    <x v="0"/>
  </r>
  <r>
    <s v="TXN-0569"/>
    <x v="206"/>
    <s v="Rizky Saputra"/>
    <x v="172"/>
    <x v="4"/>
    <x v="0"/>
    <x v="1"/>
    <x v="2"/>
    <n v="6"/>
    <x v="561"/>
    <n v="25000"/>
    <x v="0"/>
    <x v="3"/>
    <x v="1"/>
    <x v="0"/>
  </r>
  <r>
    <s v="TXN-0570"/>
    <x v="23"/>
    <s v="Dimas Permata"/>
    <x v="97"/>
    <x v="4"/>
    <x v="1"/>
    <x v="1"/>
    <x v="3"/>
    <n v="2"/>
    <x v="562"/>
    <n v="0"/>
    <x v="1"/>
    <x v="1"/>
    <x v="0"/>
    <x v="1"/>
  </r>
  <r>
    <s v="TXN-0571"/>
    <x v="140"/>
    <s v="Bima Dewi"/>
    <x v="148"/>
    <x v="1"/>
    <x v="0"/>
    <x v="3"/>
    <x v="0"/>
    <n v="6"/>
    <x v="563"/>
    <n v="15000"/>
    <x v="1"/>
    <x v="3"/>
    <x v="1"/>
    <x v="0"/>
  </r>
  <r>
    <s v="TXN-0572"/>
    <x v="141"/>
    <s v="Citra Permata"/>
    <x v="92"/>
    <x v="2"/>
    <x v="2"/>
    <x v="2"/>
    <x v="4"/>
    <n v="5"/>
    <x v="564"/>
    <n v="15000"/>
    <x v="0"/>
    <x v="0"/>
    <x v="1"/>
    <x v="0"/>
  </r>
  <r>
    <s v="TXN-0573"/>
    <x v="215"/>
    <s v="Raka Saputra"/>
    <x v="173"/>
    <x v="1"/>
    <x v="2"/>
    <x v="3"/>
    <x v="0"/>
    <n v="7"/>
    <x v="565"/>
    <n v="50000"/>
    <x v="0"/>
    <x v="0"/>
    <x v="0"/>
    <x v="0"/>
  </r>
  <r>
    <s v="TXN-0574"/>
    <x v="96"/>
    <s v="Nadia Lestari"/>
    <x v="79"/>
    <x v="4"/>
    <x v="1"/>
    <x v="5"/>
    <x v="0"/>
    <n v="6"/>
    <x v="566"/>
    <n v="0"/>
    <x v="3"/>
    <x v="2"/>
    <x v="0"/>
    <x v="1"/>
  </r>
  <r>
    <s v="TXN-0575"/>
    <x v="151"/>
    <s v="Dimas Putri"/>
    <x v="32"/>
    <x v="3"/>
    <x v="1"/>
    <x v="3"/>
    <x v="0"/>
    <n v="4"/>
    <x v="567"/>
    <n v="25000"/>
    <x v="0"/>
    <x v="3"/>
    <x v="0"/>
    <x v="0"/>
  </r>
  <r>
    <s v="TXN-0576"/>
    <x v="106"/>
    <s v="Rizky Putri"/>
    <x v="1"/>
    <x v="2"/>
    <x v="3"/>
    <x v="4"/>
    <x v="1"/>
    <n v="3"/>
    <x v="568"/>
    <n v="0"/>
    <x v="0"/>
    <x v="2"/>
    <x v="1"/>
    <x v="1"/>
  </r>
  <r>
    <s v="TXN-0577"/>
    <x v="142"/>
    <s v="Fajar Lestari"/>
    <x v="36"/>
    <x v="3"/>
    <x v="0"/>
    <x v="1"/>
    <x v="3"/>
    <n v="2"/>
    <x v="569"/>
    <n v="15000"/>
    <x v="0"/>
    <x v="0"/>
    <x v="1"/>
    <x v="2"/>
  </r>
  <r>
    <s v="TXN-0578"/>
    <x v="36"/>
    <s v="Fajar Pratama"/>
    <x v="174"/>
    <x v="0"/>
    <x v="2"/>
    <x v="2"/>
    <x v="2"/>
    <n v="5"/>
    <x v="570"/>
    <n v="15000"/>
    <x v="0"/>
    <x v="2"/>
    <x v="1"/>
    <x v="0"/>
  </r>
  <r>
    <s v="TXN-0579"/>
    <x v="17"/>
    <s v="Alya Wijaya"/>
    <x v="171"/>
    <x v="0"/>
    <x v="3"/>
    <x v="1"/>
    <x v="4"/>
    <n v="4"/>
    <x v="571"/>
    <n v="15000"/>
    <x v="0"/>
    <x v="2"/>
    <x v="1"/>
    <x v="0"/>
  </r>
  <r>
    <s v="TXN-0580"/>
    <x v="32"/>
    <s v="Fajar Pratama"/>
    <x v="81"/>
    <x v="3"/>
    <x v="2"/>
    <x v="3"/>
    <x v="0"/>
    <n v="1"/>
    <x v="572"/>
    <n v="50000"/>
    <x v="0"/>
    <x v="3"/>
    <x v="0"/>
    <x v="0"/>
  </r>
  <r>
    <s v="TXN-0581"/>
    <x v="149"/>
    <s v="Maya Putri"/>
    <x v="146"/>
    <x v="2"/>
    <x v="2"/>
    <x v="1"/>
    <x v="3"/>
    <n v="3"/>
    <x v="573"/>
    <n v="50000"/>
    <x v="0"/>
    <x v="2"/>
    <x v="0"/>
    <x v="0"/>
  </r>
  <r>
    <s v="TXN-0582"/>
    <x v="28"/>
    <s v="Citra Dewi"/>
    <x v="57"/>
    <x v="1"/>
    <x v="3"/>
    <x v="5"/>
    <x v="1"/>
    <m/>
    <x v="574"/>
    <n v="25000"/>
    <x v="0"/>
    <x v="0"/>
    <x v="1"/>
    <x v="6"/>
  </r>
  <r>
    <s v="TXN-0583"/>
    <x v="17"/>
    <s v="Alya Wijaya"/>
    <x v="41"/>
    <x v="4"/>
    <x v="3"/>
    <x v="2"/>
    <x v="3"/>
    <n v="2"/>
    <x v="575"/>
    <n v="35000"/>
    <x v="0"/>
    <x v="0"/>
    <x v="1"/>
    <x v="0"/>
  </r>
  <r>
    <s v="TXN-0584"/>
    <x v="62"/>
    <s v="Alya Permata"/>
    <x v="175"/>
    <x v="2"/>
    <x v="2"/>
    <x v="4"/>
    <x v="3"/>
    <n v="3"/>
    <x v="576"/>
    <n v="15000"/>
    <x v="0"/>
    <x v="2"/>
    <x v="1"/>
    <x v="0"/>
  </r>
  <r>
    <s v="TXN-0585"/>
    <x v="170"/>
    <s v="Bima Permata"/>
    <x v="38"/>
    <x v="0"/>
    <x v="1"/>
    <x v="1"/>
    <x v="0"/>
    <n v="2"/>
    <x v="577"/>
    <n v="25000"/>
    <x v="0"/>
    <x v="0"/>
    <x v="0"/>
    <x v="0"/>
  </r>
  <r>
    <s v="TXN-0586"/>
    <x v="207"/>
    <s v="Nadia Wijaya"/>
    <x v="117"/>
    <x v="4"/>
    <x v="0"/>
    <x v="5"/>
    <x v="3"/>
    <n v="2"/>
    <x v="578"/>
    <n v="25000"/>
    <x v="3"/>
    <x v="0"/>
    <x v="0"/>
    <x v="0"/>
  </r>
  <r>
    <s v="TXN-0587"/>
    <x v="24"/>
    <s v="Bima Wijaya"/>
    <x v="37"/>
    <x v="1"/>
    <x v="3"/>
    <x v="2"/>
    <x v="2"/>
    <n v="3"/>
    <x v="579"/>
    <n v="35000"/>
    <x v="0"/>
    <x v="0"/>
    <x v="0"/>
    <x v="0"/>
  </r>
  <r>
    <s v="TXN-0588"/>
    <x v="165"/>
    <s v="Rizky Pratama"/>
    <x v="160"/>
    <x v="0"/>
    <x v="1"/>
    <x v="3"/>
    <x v="3"/>
    <n v="7"/>
    <x v="580"/>
    <n v="35000"/>
    <x v="0"/>
    <x v="3"/>
    <x v="0"/>
    <x v="0"/>
  </r>
  <r>
    <s v="TXN-0589"/>
    <x v="42"/>
    <s v="Maya Pratama"/>
    <x v="90"/>
    <x v="0"/>
    <x v="1"/>
    <x v="1"/>
    <x v="4"/>
    <n v="4"/>
    <x v="581"/>
    <n v="25000"/>
    <x v="1"/>
    <x v="3"/>
    <x v="0"/>
    <x v="0"/>
  </r>
  <r>
    <s v="TXN-0590"/>
    <x v="221"/>
    <s v="Citra Putri"/>
    <x v="26"/>
    <x v="2"/>
    <x v="2"/>
    <x v="4"/>
    <x v="1"/>
    <n v="2"/>
    <x v="582"/>
    <n v="0"/>
    <x v="0"/>
    <x v="0"/>
    <x v="0"/>
    <x v="1"/>
  </r>
  <r>
    <s v="TXN-0591"/>
    <x v="114"/>
    <s v="Citra Wijaya"/>
    <x v="145"/>
    <x v="2"/>
    <x v="0"/>
    <x v="2"/>
    <x v="3"/>
    <n v="1"/>
    <x v="583"/>
    <n v="0"/>
    <x v="0"/>
    <x v="2"/>
    <x v="1"/>
    <x v="1"/>
  </r>
  <r>
    <s v="TXN-0592"/>
    <x v="38"/>
    <s v="Rizky Saputra"/>
    <x v="61"/>
    <x v="0"/>
    <x v="0"/>
    <x v="1"/>
    <x v="0"/>
    <n v="7"/>
    <x v="584"/>
    <n v="25000"/>
    <x v="0"/>
    <x v="3"/>
    <x v="1"/>
    <x v="0"/>
  </r>
  <r>
    <s v="TXN-0593"/>
    <x v="167"/>
    <s v="Raka Dewi"/>
    <x v="103"/>
    <x v="2"/>
    <x v="0"/>
    <x v="3"/>
    <x v="2"/>
    <n v="5"/>
    <x v="585"/>
    <n v="50000"/>
    <x v="0"/>
    <x v="2"/>
    <x v="1"/>
    <x v="0"/>
  </r>
  <r>
    <s v="TXN-0594"/>
    <x v="154"/>
    <s v="Citra Santoso"/>
    <x v="155"/>
    <x v="0"/>
    <x v="0"/>
    <x v="2"/>
    <x v="0"/>
    <n v="7"/>
    <x v="586"/>
    <n v="25000"/>
    <x v="0"/>
    <x v="3"/>
    <x v="0"/>
    <x v="0"/>
  </r>
  <r>
    <s v="TXN-0595"/>
    <x v="159"/>
    <s v="Citra Lestari"/>
    <x v="67"/>
    <x v="0"/>
    <x v="3"/>
    <x v="3"/>
    <x v="1"/>
    <n v="3"/>
    <x v="587"/>
    <n v="25000"/>
    <x v="0"/>
    <x v="1"/>
    <x v="0"/>
    <x v="0"/>
  </r>
  <r>
    <s v="TXN-0596"/>
    <x v="93"/>
    <s v="Rizky Santoso"/>
    <x v="81"/>
    <x v="3"/>
    <x v="2"/>
    <x v="4"/>
    <x v="4"/>
    <n v="1"/>
    <x v="59"/>
    <n v="50000"/>
    <x v="3"/>
    <x v="0"/>
    <x v="0"/>
    <x v="3"/>
  </r>
  <r>
    <s v="TXN-0597"/>
    <x v="108"/>
    <s v="Maya Permata"/>
    <x v="121"/>
    <x v="3"/>
    <x v="3"/>
    <x v="1"/>
    <x v="2"/>
    <n v="5"/>
    <x v="588"/>
    <n v="25000"/>
    <x v="0"/>
    <x v="2"/>
    <x v="1"/>
    <x v="0"/>
  </r>
  <r>
    <s v="TXN-0598"/>
    <x v="84"/>
    <s v="Citra Putri"/>
    <x v="27"/>
    <x v="3"/>
    <x v="2"/>
    <x v="0"/>
    <x v="1"/>
    <n v="4"/>
    <x v="589"/>
    <n v="50000"/>
    <x v="0"/>
    <x v="1"/>
    <x v="0"/>
    <x v="0"/>
  </r>
  <r>
    <s v="TXN-0599"/>
    <x v="222"/>
    <s v="Fajar Santoso"/>
    <x v="71"/>
    <x v="2"/>
    <x v="2"/>
    <x v="4"/>
    <x v="1"/>
    <n v="2"/>
    <x v="590"/>
    <n v="0"/>
    <x v="0"/>
    <x v="2"/>
    <x v="0"/>
    <x v="1"/>
  </r>
  <r>
    <s v="TXN-0600"/>
    <x v="19"/>
    <s v="Alya Lestari"/>
    <x v="96"/>
    <x v="4"/>
    <x v="1"/>
    <x v="1"/>
    <x v="3"/>
    <n v="1"/>
    <x v="591"/>
    <n v="0"/>
    <x v="0"/>
    <x v="0"/>
    <x v="0"/>
    <x v="1"/>
  </r>
  <r>
    <s v="TXN-0601"/>
    <x v="158"/>
    <s v="Bima Putri"/>
    <x v="55"/>
    <x v="0"/>
    <x v="1"/>
    <x v="5"/>
    <x v="3"/>
    <n v="3"/>
    <x v="592"/>
    <n v="50000"/>
    <x v="1"/>
    <x v="3"/>
    <x v="1"/>
    <x v="0"/>
  </r>
  <r>
    <s v="TXN-0602"/>
    <x v="48"/>
    <s v="Nadia Putri"/>
    <x v="99"/>
    <x v="4"/>
    <x v="3"/>
    <x v="0"/>
    <x v="3"/>
    <n v="7"/>
    <x v="593"/>
    <n v="50000"/>
    <x v="0"/>
    <x v="2"/>
    <x v="1"/>
    <x v="0"/>
  </r>
  <r>
    <s v="TXN-0603"/>
    <x v="120"/>
    <s v="Citra Permata"/>
    <x v="22"/>
    <x v="0"/>
    <x v="0"/>
    <x v="4"/>
    <x v="0"/>
    <n v="2"/>
    <x v="594"/>
    <n v="25000"/>
    <x v="0"/>
    <x v="2"/>
    <x v="0"/>
    <x v="0"/>
  </r>
  <r>
    <s v="TXN-0604"/>
    <x v="109"/>
    <s v="Sari Santoso"/>
    <x v="131"/>
    <x v="1"/>
    <x v="3"/>
    <x v="2"/>
    <x v="1"/>
    <n v="7"/>
    <x v="595"/>
    <n v="35000"/>
    <x v="0"/>
    <x v="0"/>
    <x v="0"/>
    <x v="0"/>
  </r>
  <r>
    <s v="TXN-0605"/>
    <x v="189"/>
    <s v="Rizky Dewi"/>
    <x v="126"/>
    <x v="2"/>
    <x v="3"/>
    <x v="5"/>
    <x v="0"/>
    <n v="7"/>
    <x v="596"/>
    <n v="50000"/>
    <x v="0"/>
    <x v="1"/>
    <x v="1"/>
    <x v="0"/>
  </r>
  <r>
    <s v="TXN-0606"/>
    <x v="67"/>
    <s v="Fajar Wijaya"/>
    <x v="54"/>
    <x v="2"/>
    <x v="0"/>
    <x v="2"/>
    <x v="3"/>
    <n v="4"/>
    <x v="597"/>
    <n v="25000"/>
    <x v="0"/>
    <x v="1"/>
    <x v="1"/>
    <x v="0"/>
  </r>
  <r>
    <s v="TXN-0607"/>
    <x v="70"/>
    <s v="Alya Wijaya"/>
    <x v="169"/>
    <x v="3"/>
    <x v="0"/>
    <x v="0"/>
    <x v="3"/>
    <n v="7"/>
    <x v="598"/>
    <n v="35000"/>
    <x v="0"/>
    <x v="1"/>
    <x v="1"/>
    <x v="0"/>
  </r>
  <r>
    <s v="TXN-0608"/>
    <x v="113"/>
    <s v="Nadia Lestari"/>
    <x v="168"/>
    <x v="1"/>
    <x v="2"/>
    <x v="4"/>
    <x v="3"/>
    <n v="6"/>
    <x v="599"/>
    <n v="15000"/>
    <x v="0"/>
    <x v="0"/>
    <x v="0"/>
    <x v="0"/>
  </r>
  <r>
    <s v="TXN-0609"/>
    <x v="4"/>
    <s v="Sari Saputra"/>
    <x v="93"/>
    <x v="0"/>
    <x v="2"/>
    <x v="4"/>
    <x v="2"/>
    <n v="5"/>
    <x v="600"/>
    <n v="15000"/>
    <x v="0"/>
    <x v="0"/>
    <x v="1"/>
    <x v="0"/>
  </r>
  <r>
    <s v="TXN-0610"/>
    <x v="110"/>
    <s v="Raka Pratama"/>
    <x v="176"/>
    <x v="0"/>
    <x v="1"/>
    <x v="1"/>
    <x v="0"/>
    <n v="5"/>
    <x v="601"/>
    <n v="25000"/>
    <x v="0"/>
    <x v="2"/>
    <x v="1"/>
    <x v="0"/>
  </r>
  <r>
    <s v="TXN-0611"/>
    <x v="60"/>
    <s v="Maya Putri"/>
    <x v="11"/>
    <x v="4"/>
    <x v="0"/>
    <x v="1"/>
    <x v="3"/>
    <n v="4"/>
    <x v="602"/>
    <n v="0"/>
    <x v="0"/>
    <x v="0"/>
    <x v="1"/>
    <x v="1"/>
  </r>
  <r>
    <s v="TXN-0612"/>
    <x v="97"/>
    <s v="Citra Pratama"/>
    <x v="99"/>
    <x v="1"/>
    <x v="3"/>
    <x v="1"/>
    <x v="1"/>
    <n v="4"/>
    <x v="603"/>
    <n v="0"/>
    <x v="0"/>
    <x v="3"/>
    <x v="1"/>
    <x v="1"/>
  </r>
  <r>
    <s v="TXN-0613"/>
    <x v="187"/>
    <s v="Sari Putri"/>
    <x v="141"/>
    <x v="3"/>
    <x v="2"/>
    <x v="2"/>
    <x v="1"/>
    <n v="2"/>
    <x v="604"/>
    <n v="25000"/>
    <x v="0"/>
    <x v="1"/>
    <x v="0"/>
    <x v="0"/>
  </r>
  <r>
    <s v="TXN-0614"/>
    <x v="63"/>
    <s v="Maya Wijaya"/>
    <x v="54"/>
    <x v="0"/>
    <x v="0"/>
    <x v="3"/>
    <x v="4"/>
    <n v="4"/>
    <x v="605"/>
    <n v="25000"/>
    <x v="0"/>
    <x v="3"/>
    <x v="0"/>
    <x v="0"/>
  </r>
  <r>
    <s v="TXN-0615"/>
    <x v="184"/>
    <s v="Fajar Saputra"/>
    <x v="34"/>
    <x v="0"/>
    <x v="1"/>
    <x v="5"/>
    <x v="4"/>
    <n v="4"/>
    <x v="606"/>
    <n v="35000"/>
    <x v="0"/>
    <x v="3"/>
    <x v="1"/>
    <x v="0"/>
  </r>
  <r>
    <s v="TXN-0616"/>
    <x v="153"/>
    <s v="Fajar Santoso"/>
    <x v="93"/>
    <x v="2"/>
    <x v="3"/>
    <x v="5"/>
    <x v="0"/>
    <n v="6"/>
    <x v="607"/>
    <n v="0"/>
    <x v="0"/>
    <x v="4"/>
    <x v="0"/>
    <x v="10"/>
  </r>
  <r>
    <s v="TXN-0617"/>
    <x v="39"/>
    <s v="Rizky Wijaya"/>
    <x v="140"/>
    <x v="2"/>
    <x v="0"/>
    <x v="5"/>
    <x v="3"/>
    <n v="6"/>
    <x v="608"/>
    <n v="25000"/>
    <x v="2"/>
    <x v="3"/>
    <x v="0"/>
    <x v="0"/>
  </r>
  <r>
    <s v="TXN-0618"/>
    <x v="30"/>
    <s v="Alya Saputra"/>
    <x v="176"/>
    <x v="1"/>
    <x v="3"/>
    <x v="5"/>
    <x v="0"/>
    <n v="6"/>
    <x v="609"/>
    <n v="50000"/>
    <x v="3"/>
    <x v="2"/>
    <x v="1"/>
    <x v="0"/>
  </r>
  <r>
    <s v="TXN-0619"/>
    <x v="25"/>
    <s v="Maya Santoso"/>
    <x v="171"/>
    <x v="1"/>
    <x v="2"/>
    <x v="0"/>
    <x v="0"/>
    <n v="2"/>
    <x v="610"/>
    <n v="15000"/>
    <x v="0"/>
    <x v="2"/>
    <x v="0"/>
    <x v="0"/>
  </r>
  <r>
    <s v="TXN-0620"/>
    <x v="12"/>
    <s v="Nadia Lestari"/>
    <x v="92"/>
    <x v="4"/>
    <x v="0"/>
    <x v="0"/>
    <x v="0"/>
    <n v="3"/>
    <x v="611"/>
    <n v="50000"/>
    <x v="0"/>
    <x v="2"/>
    <x v="0"/>
    <x v="0"/>
  </r>
  <r>
    <s v="TXN-0621"/>
    <x v="92"/>
    <s v="Raka Santoso"/>
    <x v="81"/>
    <x v="2"/>
    <x v="0"/>
    <x v="4"/>
    <x v="3"/>
    <n v="6"/>
    <x v="612"/>
    <n v="35000"/>
    <x v="0"/>
    <x v="3"/>
    <x v="0"/>
    <x v="0"/>
  </r>
  <r>
    <s v="TXN-0622"/>
    <x v="171"/>
    <s v="Dimas Permata"/>
    <x v="99"/>
    <x v="3"/>
    <x v="3"/>
    <x v="1"/>
    <x v="3"/>
    <n v="1"/>
    <x v="613"/>
    <n v="15000"/>
    <x v="0"/>
    <x v="0"/>
    <x v="1"/>
    <x v="0"/>
  </r>
  <r>
    <s v="TXN-0623"/>
    <x v="71"/>
    <s v="Sari Permata"/>
    <x v="12"/>
    <x v="2"/>
    <x v="1"/>
    <x v="2"/>
    <x v="4"/>
    <n v="4"/>
    <x v="614"/>
    <n v="35000"/>
    <x v="0"/>
    <x v="1"/>
    <x v="1"/>
    <x v="0"/>
  </r>
  <r>
    <s v="TXN-0624"/>
    <x v="25"/>
    <s v="Maya Santoso"/>
    <x v="105"/>
    <x v="2"/>
    <x v="1"/>
    <x v="1"/>
    <x v="4"/>
    <n v="2"/>
    <x v="615"/>
    <n v="0"/>
    <x v="0"/>
    <x v="0"/>
    <x v="1"/>
    <x v="1"/>
  </r>
  <r>
    <s v="TXN-0625"/>
    <x v="84"/>
    <s v="Citra Putri"/>
    <x v="57"/>
    <x v="0"/>
    <x v="0"/>
    <x v="5"/>
    <x v="2"/>
    <n v="2"/>
    <x v="616"/>
    <n v="50000"/>
    <x v="0"/>
    <x v="1"/>
    <x v="1"/>
    <x v="0"/>
  </r>
  <r>
    <s v="TXN-0626"/>
    <x v="210"/>
    <s v="Sari Putri"/>
    <x v="171"/>
    <x v="0"/>
    <x v="0"/>
    <x v="4"/>
    <x v="1"/>
    <n v="5"/>
    <x v="617"/>
    <n v="15000"/>
    <x v="3"/>
    <x v="0"/>
    <x v="0"/>
    <x v="0"/>
  </r>
  <r>
    <s v="TXN-0627"/>
    <x v="118"/>
    <s v="Raka Pratama"/>
    <x v="97"/>
    <x v="4"/>
    <x v="3"/>
    <x v="4"/>
    <x v="3"/>
    <n v="4"/>
    <x v="618"/>
    <n v="35000"/>
    <x v="0"/>
    <x v="0"/>
    <x v="0"/>
    <x v="0"/>
  </r>
  <r>
    <s v="TXN-0628"/>
    <x v="94"/>
    <s v="Raka Permata"/>
    <x v="0"/>
    <x v="0"/>
    <x v="1"/>
    <x v="2"/>
    <x v="0"/>
    <n v="7"/>
    <x v="619"/>
    <n v="0"/>
    <x v="0"/>
    <x v="2"/>
    <x v="0"/>
    <x v="1"/>
  </r>
  <r>
    <s v="TXN-0629"/>
    <x v="190"/>
    <s v="Alya Putri"/>
    <x v="39"/>
    <x v="4"/>
    <x v="1"/>
    <x v="2"/>
    <x v="2"/>
    <n v="7"/>
    <x v="620"/>
    <n v="15000"/>
    <x v="0"/>
    <x v="2"/>
    <x v="1"/>
    <x v="0"/>
  </r>
  <r>
    <s v="TXN-0630"/>
    <x v="204"/>
    <s v="Raka Putri"/>
    <x v="21"/>
    <x v="2"/>
    <x v="0"/>
    <x v="1"/>
    <x v="2"/>
    <n v="7"/>
    <x v="621"/>
    <n v="25000"/>
    <x v="0"/>
    <x v="0"/>
    <x v="0"/>
    <x v="0"/>
  </r>
  <r>
    <s v="TXN-0631"/>
    <x v="134"/>
    <s v="Alya Santoso"/>
    <x v="176"/>
    <x v="1"/>
    <x v="1"/>
    <x v="4"/>
    <x v="3"/>
    <n v="7"/>
    <x v="622"/>
    <n v="25000"/>
    <x v="0"/>
    <x v="0"/>
    <x v="0"/>
    <x v="0"/>
  </r>
  <r>
    <s v="TXN-0632"/>
    <x v="88"/>
    <s v="Maya Saputra"/>
    <x v="114"/>
    <x v="1"/>
    <x v="0"/>
    <x v="5"/>
    <x v="4"/>
    <n v="6"/>
    <x v="623"/>
    <n v="0"/>
    <x v="0"/>
    <x v="0"/>
    <x v="1"/>
    <x v="1"/>
  </r>
  <r>
    <s v="TXN-0633"/>
    <x v="77"/>
    <s v="Maya Permata"/>
    <x v="54"/>
    <x v="1"/>
    <x v="2"/>
    <x v="4"/>
    <x v="2"/>
    <n v="7"/>
    <x v="624"/>
    <n v="15000"/>
    <x v="1"/>
    <x v="1"/>
    <x v="0"/>
    <x v="0"/>
  </r>
  <r>
    <s v="TXN-0634"/>
    <x v="105"/>
    <s v="Raka Putri"/>
    <x v="26"/>
    <x v="4"/>
    <x v="3"/>
    <x v="4"/>
    <x v="2"/>
    <n v="3"/>
    <x v="625"/>
    <n v="50000"/>
    <x v="0"/>
    <x v="3"/>
    <x v="0"/>
    <x v="0"/>
  </r>
  <r>
    <s v="TXN-0635"/>
    <x v="142"/>
    <s v="Fajar Lestari"/>
    <x v="115"/>
    <x v="1"/>
    <x v="2"/>
    <x v="1"/>
    <x v="4"/>
    <n v="5"/>
    <x v="626"/>
    <n v="15000"/>
    <x v="0"/>
    <x v="2"/>
    <x v="0"/>
    <x v="0"/>
  </r>
  <r>
    <s v="TXN-0636"/>
    <x v="88"/>
    <s v="Maya Saputra"/>
    <x v="54"/>
    <x v="3"/>
    <x v="1"/>
    <x v="0"/>
    <x v="4"/>
    <n v="7"/>
    <x v="627"/>
    <n v="50000"/>
    <x v="1"/>
    <x v="3"/>
    <x v="0"/>
    <x v="0"/>
  </r>
  <r>
    <s v="TXN-0637"/>
    <x v="156"/>
    <s v="Nadia Putri"/>
    <x v="62"/>
    <x v="2"/>
    <x v="3"/>
    <x v="2"/>
    <x v="1"/>
    <n v="6"/>
    <x v="628"/>
    <n v="25000"/>
    <x v="1"/>
    <x v="3"/>
    <x v="1"/>
    <x v="0"/>
  </r>
  <r>
    <s v="TXN-0638"/>
    <x v="34"/>
    <s v="Maya Santoso"/>
    <x v="35"/>
    <x v="1"/>
    <x v="3"/>
    <x v="3"/>
    <x v="1"/>
    <n v="6"/>
    <x v="629"/>
    <n v="0"/>
    <x v="3"/>
    <x v="2"/>
    <x v="0"/>
    <x v="1"/>
  </r>
  <r>
    <s v="TXN-0639"/>
    <x v="21"/>
    <s v="Maya Lestari"/>
    <x v="105"/>
    <x v="4"/>
    <x v="2"/>
    <x v="3"/>
    <x v="3"/>
    <n v="2"/>
    <x v="630"/>
    <n v="25000"/>
    <x v="0"/>
    <x v="3"/>
    <x v="1"/>
    <x v="0"/>
  </r>
  <r>
    <s v="TXN-0640"/>
    <x v="94"/>
    <s v="Raka Permata"/>
    <x v="102"/>
    <x v="0"/>
    <x v="2"/>
    <x v="4"/>
    <x v="3"/>
    <n v="6"/>
    <x v="631"/>
    <n v="25000"/>
    <x v="0"/>
    <x v="2"/>
    <x v="0"/>
    <x v="0"/>
  </r>
  <r>
    <s v="TXN-0641"/>
    <x v="184"/>
    <s v="Fajar Saputra"/>
    <x v="121"/>
    <x v="3"/>
    <x v="2"/>
    <x v="0"/>
    <x v="4"/>
    <n v="7"/>
    <x v="632"/>
    <n v="25000"/>
    <x v="0"/>
    <x v="3"/>
    <x v="0"/>
    <x v="0"/>
  </r>
  <r>
    <s v="TXN-0642"/>
    <x v="26"/>
    <s v="Nadia Santoso"/>
    <x v="78"/>
    <x v="1"/>
    <x v="0"/>
    <x v="5"/>
    <x v="0"/>
    <n v="3"/>
    <x v="633"/>
    <n v="15000"/>
    <x v="1"/>
    <x v="3"/>
    <x v="0"/>
    <x v="0"/>
  </r>
  <r>
    <s v="TXN-0643"/>
    <x v="117"/>
    <s v="Nadia Saputra"/>
    <x v="11"/>
    <x v="2"/>
    <x v="0"/>
    <x v="1"/>
    <x v="4"/>
    <n v="3"/>
    <x v="634"/>
    <n v="50000"/>
    <x v="3"/>
    <x v="0"/>
    <x v="1"/>
    <x v="0"/>
  </r>
  <r>
    <s v="TXN-0644"/>
    <x v="93"/>
    <s v="Rizky Santoso"/>
    <x v="8"/>
    <x v="1"/>
    <x v="0"/>
    <x v="5"/>
    <x v="3"/>
    <n v="1"/>
    <x v="635"/>
    <n v="15000"/>
    <x v="0"/>
    <x v="0"/>
    <x v="0"/>
    <x v="0"/>
  </r>
  <r>
    <s v="TXN-0645"/>
    <x v="93"/>
    <s v="Rizky Santoso"/>
    <x v="61"/>
    <x v="4"/>
    <x v="3"/>
    <x v="0"/>
    <x v="0"/>
    <n v="7"/>
    <x v="636"/>
    <n v="0"/>
    <x v="2"/>
    <x v="1"/>
    <x v="0"/>
    <x v="1"/>
  </r>
  <r>
    <s v="TXN-0646"/>
    <x v="191"/>
    <s v="Maya Santoso"/>
    <x v="4"/>
    <x v="1"/>
    <x v="1"/>
    <x v="3"/>
    <x v="0"/>
    <n v="2"/>
    <x v="637"/>
    <n v="50000"/>
    <x v="0"/>
    <x v="2"/>
    <x v="1"/>
    <x v="0"/>
  </r>
  <r>
    <s v="TXN-0647"/>
    <x v="195"/>
    <s v="Alya Santoso"/>
    <x v="164"/>
    <x v="3"/>
    <x v="2"/>
    <x v="2"/>
    <x v="1"/>
    <n v="2"/>
    <x v="638"/>
    <n v="15000"/>
    <x v="0"/>
    <x v="2"/>
    <x v="1"/>
    <x v="0"/>
  </r>
  <r>
    <s v="TXN-0648"/>
    <x v="14"/>
    <s v="Rizky Dewi"/>
    <x v="78"/>
    <x v="1"/>
    <x v="0"/>
    <x v="3"/>
    <x v="3"/>
    <n v="4"/>
    <x v="639"/>
    <n v="50000"/>
    <x v="0"/>
    <x v="3"/>
    <x v="0"/>
    <x v="0"/>
  </r>
  <r>
    <s v="TXN-0649"/>
    <x v="121"/>
    <s v="Fajar Wijaya"/>
    <x v="58"/>
    <x v="0"/>
    <x v="0"/>
    <x v="3"/>
    <x v="0"/>
    <n v="3"/>
    <x v="640"/>
    <n v="15000"/>
    <x v="0"/>
    <x v="2"/>
    <x v="1"/>
    <x v="0"/>
  </r>
  <r>
    <s v="TXN-0650"/>
    <x v="211"/>
    <s v="Dimas Dewi"/>
    <x v="167"/>
    <x v="0"/>
    <x v="0"/>
    <x v="3"/>
    <x v="4"/>
    <n v="3"/>
    <x v="641"/>
    <n v="50000"/>
    <x v="0"/>
    <x v="3"/>
    <x v="1"/>
    <x v="0"/>
  </r>
  <r>
    <s v="TXN-0651"/>
    <x v="9"/>
    <s v="Fajar Pratama"/>
    <x v="135"/>
    <x v="3"/>
    <x v="1"/>
    <x v="4"/>
    <x v="4"/>
    <n v="5"/>
    <x v="642"/>
    <n v="35000"/>
    <x v="0"/>
    <x v="0"/>
    <x v="0"/>
    <x v="0"/>
  </r>
  <r>
    <s v="TXN-0652"/>
    <x v="223"/>
    <s v="Nadia Putri"/>
    <x v="168"/>
    <x v="3"/>
    <x v="0"/>
    <x v="1"/>
    <x v="3"/>
    <n v="4"/>
    <x v="643"/>
    <n v="25000"/>
    <x v="1"/>
    <x v="3"/>
    <x v="1"/>
    <x v="0"/>
  </r>
  <r>
    <s v="TXN-0653"/>
    <x v="140"/>
    <s v="Bima Dewi"/>
    <x v="112"/>
    <x v="1"/>
    <x v="1"/>
    <x v="3"/>
    <x v="1"/>
    <n v="6"/>
    <x v="644"/>
    <n v="35000"/>
    <x v="0"/>
    <x v="2"/>
    <x v="0"/>
    <x v="0"/>
  </r>
  <r>
    <s v="TXN-0654"/>
    <x v="22"/>
    <s v="Nadia Santoso"/>
    <x v="36"/>
    <x v="1"/>
    <x v="1"/>
    <x v="1"/>
    <x v="4"/>
    <n v="2"/>
    <x v="645"/>
    <n v="25000"/>
    <x v="0"/>
    <x v="3"/>
    <x v="0"/>
    <x v="2"/>
  </r>
  <r>
    <s v="TXN-0655"/>
    <x v="7"/>
    <s v="Alya Lestari"/>
    <x v="144"/>
    <x v="2"/>
    <x v="3"/>
    <x v="1"/>
    <x v="1"/>
    <n v="5"/>
    <x v="646"/>
    <n v="25000"/>
    <x v="0"/>
    <x v="1"/>
    <x v="1"/>
    <x v="0"/>
  </r>
  <r>
    <s v="TXN-0656"/>
    <x v="197"/>
    <s v="Citra Saputra"/>
    <x v="137"/>
    <x v="0"/>
    <x v="3"/>
    <x v="3"/>
    <x v="1"/>
    <n v="7"/>
    <x v="647"/>
    <n v="50000"/>
    <x v="0"/>
    <x v="2"/>
    <x v="1"/>
    <x v="0"/>
  </r>
  <r>
    <s v="TXN-0657"/>
    <x v="83"/>
    <s v="Bima Lestari"/>
    <x v="104"/>
    <x v="1"/>
    <x v="2"/>
    <x v="3"/>
    <x v="1"/>
    <n v="5"/>
    <x v="648"/>
    <n v="35000"/>
    <x v="0"/>
    <x v="0"/>
    <x v="1"/>
    <x v="0"/>
  </r>
  <r>
    <s v="TXN-0658"/>
    <x v="61"/>
    <s v="Dimas Santoso"/>
    <x v="89"/>
    <x v="4"/>
    <x v="2"/>
    <x v="4"/>
    <x v="0"/>
    <n v="3"/>
    <x v="649"/>
    <n v="0"/>
    <x v="0"/>
    <x v="0"/>
    <x v="0"/>
    <x v="1"/>
  </r>
  <r>
    <s v="TXN-0659"/>
    <x v="150"/>
    <s v="Alya Pratama"/>
    <x v="177"/>
    <x v="3"/>
    <x v="0"/>
    <x v="4"/>
    <x v="4"/>
    <n v="6"/>
    <x v="650"/>
    <n v="25000"/>
    <x v="0"/>
    <x v="2"/>
    <x v="1"/>
    <x v="0"/>
  </r>
  <r>
    <s v="TXN-0660"/>
    <x v="5"/>
    <s v="Sari Wijaya"/>
    <x v="36"/>
    <x v="3"/>
    <x v="3"/>
    <x v="0"/>
    <x v="1"/>
    <n v="2"/>
    <x v="651"/>
    <n v="0"/>
    <x v="0"/>
    <x v="1"/>
    <x v="0"/>
    <x v="4"/>
  </r>
  <r>
    <s v="TXN-0661"/>
    <x v="74"/>
    <s v="Nadia Pratama"/>
    <x v="35"/>
    <x v="2"/>
    <x v="2"/>
    <x v="5"/>
    <x v="4"/>
    <n v="7"/>
    <x v="652"/>
    <n v="25000"/>
    <x v="0"/>
    <x v="2"/>
    <x v="1"/>
    <x v="0"/>
  </r>
  <r>
    <s v="TXN-0662"/>
    <x v="215"/>
    <s v="Raka Saputra"/>
    <x v="161"/>
    <x v="0"/>
    <x v="1"/>
    <x v="2"/>
    <x v="2"/>
    <n v="3"/>
    <x v="653"/>
    <n v="50000"/>
    <x v="0"/>
    <x v="3"/>
    <x v="1"/>
    <x v="0"/>
  </r>
  <r>
    <s v="TXN-0663"/>
    <x v="66"/>
    <s v="Citra Pratama"/>
    <x v="121"/>
    <x v="2"/>
    <x v="1"/>
    <x v="4"/>
    <x v="1"/>
    <n v="3"/>
    <x v="59"/>
    <n v="25000"/>
    <x v="0"/>
    <x v="0"/>
    <x v="1"/>
    <x v="3"/>
  </r>
  <r>
    <s v="TXN-0664"/>
    <x v="2"/>
    <s v="Citra Putri"/>
    <x v="30"/>
    <x v="1"/>
    <x v="3"/>
    <x v="3"/>
    <x v="4"/>
    <n v="6"/>
    <x v="654"/>
    <n v="35000"/>
    <x v="0"/>
    <x v="0"/>
    <x v="1"/>
    <x v="0"/>
  </r>
  <r>
    <s v="TXN-0665"/>
    <x v="202"/>
    <s v="Sari Wijaya"/>
    <x v="111"/>
    <x v="3"/>
    <x v="0"/>
    <x v="4"/>
    <x v="1"/>
    <n v="2"/>
    <x v="655"/>
    <n v="15000"/>
    <x v="2"/>
    <x v="1"/>
    <x v="1"/>
    <x v="0"/>
  </r>
  <r>
    <s v="TXN-0666"/>
    <x v="141"/>
    <s v="Citra Permata"/>
    <x v="97"/>
    <x v="2"/>
    <x v="2"/>
    <x v="1"/>
    <x v="0"/>
    <n v="5"/>
    <x v="656"/>
    <n v="25000"/>
    <x v="0"/>
    <x v="0"/>
    <x v="0"/>
    <x v="0"/>
  </r>
  <r>
    <s v="TXN-0667"/>
    <x v="183"/>
    <s v="Fajar Saputra"/>
    <x v="61"/>
    <x v="1"/>
    <x v="2"/>
    <x v="4"/>
    <x v="1"/>
    <n v="3"/>
    <x v="657"/>
    <n v="15000"/>
    <x v="3"/>
    <x v="0"/>
    <x v="1"/>
    <x v="0"/>
  </r>
  <r>
    <s v="TXN-0668"/>
    <x v="67"/>
    <s v="Fajar Wijaya"/>
    <x v="127"/>
    <x v="4"/>
    <x v="3"/>
    <x v="1"/>
    <x v="2"/>
    <n v="4"/>
    <x v="658"/>
    <n v="50000"/>
    <x v="0"/>
    <x v="2"/>
    <x v="1"/>
    <x v="0"/>
  </r>
  <r>
    <s v="TXN-0669"/>
    <x v="77"/>
    <s v="Maya Permata"/>
    <x v="14"/>
    <x v="3"/>
    <x v="3"/>
    <x v="0"/>
    <x v="1"/>
    <n v="6"/>
    <x v="659"/>
    <n v="15000"/>
    <x v="0"/>
    <x v="2"/>
    <x v="1"/>
    <x v="0"/>
  </r>
  <r>
    <s v="TXN-0670"/>
    <x v="165"/>
    <s v="Rizky Pratama"/>
    <x v="121"/>
    <x v="2"/>
    <x v="0"/>
    <x v="3"/>
    <x v="2"/>
    <n v="6"/>
    <x v="660"/>
    <n v="35000"/>
    <x v="0"/>
    <x v="3"/>
    <x v="1"/>
    <x v="0"/>
  </r>
  <r>
    <s v="TXN-0671"/>
    <x v="48"/>
    <s v="Nadia Putri"/>
    <x v="5"/>
    <x v="1"/>
    <x v="1"/>
    <x v="1"/>
    <x v="4"/>
    <n v="6"/>
    <x v="661"/>
    <n v="15000"/>
    <x v="0"/>
    <x v="0"/>
    <x v="1"/>
    <x v="0"/>
  </r>
  <r>
    <s v="TXN-0672"/>
    <x v="4"/>
    <s v="Sari Saputra"/>
    <x v="114"/>
    <x v="4"/>
    <x v="1"/>
    <x v="2"/>
    <x v="0"/>
    <n v="3"/>
    <x v="662"/>
    <n v="0"/>
    <x v="0"/>
    <x v="2"/>
    <x v="0"/>
    <x v="1"/>
  </r>
  <r>
    <s v="TXN-0673"/>
    <x v="175"/>
    <s v="Dimas Saputra"/>
    <x v="86"/>
    <x v="4"/>
    <x v="2"/>
    <x v="3"/>
    <x v="4"/>
    <n v="2"/>
    <x v="663"/>
    <n v="15000"/>
    <x v="0"/>
    <x v="0"/>
    <x v="0"/>
    <x v="0"/>
  </r>
  <r>
    <s v="TXN-0674"/>
    <x v="204"/>
    <s v="Raka Putri"/>
    <x v="124"/>
    <x v="1"/>
    <x v="0"/>
    <x v="5"/>
    <x v="1"/>
    <n v="6"/>
    <x v="664"/>
    <n v="35000"/>
    <x v="0"/>
    <x v="3"/>
    <x v="0"/>
    <x v="0"/>
  </r>
  <r>
    <s v="TXN-0675"/>
    <x v="32"/>
    <s v="Fajar Pratama"/>
    <x v="143"/>
    <x v="0"/>
    <x v="3"/>
    <x v="3"/>
    <x v="2"/>
    <n v="6"/>
    <x v="665"/>
    <n v="0"/>
    <x v="0"/>
    <x v="2"/>
    <x v="1"/>
    <x v="1"/>
  </r>
  <r>
    <s v="TXN-0676"/>
    <x v="187"/>
    <s v="Sari Putri"/>
    <x v="24"/>
    <x v="4"/>
    <x v="2"/>
    <x v="0"/>
    <x v="4"/>
    <n v="5"/>
    <x v="666"/>
    <n v="15000"/>
    <x v="0"/>
    <x v="1"/>
    <x v="0"/>
    <x v="0"/>
  </r>
  <r>
    <s v="TXN-0677"/>
    <x v="78"/>
    <s v="Alya Wijaya"/>
    <x v="35"/>
    <x v="0"/>
    <x v="3"/>
    <x v="1"/>
    <x v="1"/>
    <n v="7"/>
    <x v="667"/>
    <n v="0"/>
    <x v="0"/>
    <x v="3"/>
    <x v="1"/>
    <x v="1"/>
  </r>
  <r>
    <s v="TXN-0678"/>
    <x v="1"/>
    <s v="Rizky Permata"/>
    <x v="163"/>
    <x v="1"/>
    <x v="1"/>
    <x v="4"/>
    <x v="2"/>
    <n v="4"/>
    <x v="668"/>
    <n v="35000"/>
    <x v="0"/>
    <x v="2"/>
    <x v="1"/>
    <x v="0"/>
  </r>
  <r>
    <s v="TXN-0679"/>
    <x v="113"/>
    <s v="Nadia Lestari"/>
    <x v="166"/>
    <x v="3"/>
    <x v="1"/>
    <x v="5"/>
    <x v="3"/>
    <m/>
    <x v="669"/>
    <n v="35000"/>
    <x v="0"/>
    <x v="0"/>
    <x v="1"/>
    <x v="6"/>
  </r>
  <r>
    <s v="TXN-0680"/>
    <x v="111"/>
    <s v="Maya Lestari"/>
    <x v="3"/>
    <x v="0"/>
    <x v="3"/>
    <x v="2"/>
    <x v="1"/>
    <n v="7"/>
    <x v="670"/>
    <n v="25000"/>
    <x v="2"/>
    <x v="3"/>
    <x v="1"/>
    <x v="0"/>
  </r>
  <r>
    <s v="TXN-0681"/>
    <x v="89"/>
    <s v="Citra Permata"/>
    <x v="167"/>
    <x v="1"/>
    <x v="3"/>
    <x v="2"/>
    <x v="2"/>
    <n v="2"/>
    <x v="671"/>
    <n v="15000"/>
    <x v="0"/>
    <x v="2"/>
    <x v="1"/>
    <x v="0"/>
  </r>
  <r>
    <s v="TXN-0682"/>
    <x v="2"/>
    <s v="Citra Putri"/>
    <x v="151"/>
    <x v="3"/>
    <x v="3"/>
    <x v="3"/>
    <x v="2"/>
    <n v="2"/>
    <x v="672"/>
    <n v="50000"/>
    <x v="0"/>
    <x v="1"/>
    <x v="0"/>
    <x v="0"/>
  </r>
  <r>
    <s v="TXN-0683"/>
    <x v="207"/>
    <s v="Nadia Wijaya"/>
    <x v="57"/>
    <x v="4"/>
    <x v="3"/>
    <x v="5"/>
    <x v="2"/>
    <n v="6"/>
    <x v="673"/>
    <n v="50000"/>
    <x v="0"/>
    <x v="1"/>
    <x v="1"/>
    <x v="0"/>
  </r>
  <r>
    <s v="TXN-0684"/>
    <x v="19"/>
    <s v="Alya Lestari"/>
    <x v="114"/>
    <x v="0"/>
    <x v="3"/>
    <x v="1"/>
    <x v="4"/>
    <n v="1"/>
    <x v="674"/>
    <n v="50000"/>
    <x v="1"/>
    <x v="0"/>
    <x v="1"/>
    <x v="0"/>
  </r>
  <r>
    <s v="TXN-0685"/>
    <x v="172"/>
    <s v="Sari Saputra"/>
    <x v="168"/>
    <x v="1"/>
    <x v="2"/>
    <x v="3"/>
    <x v="0"/>
    <n v="6"/>
    <x v="675"/>
    <n v="50000"/>
    <x v="0"/>
    <x v="0"/>
    <x v="0"/>
    <x v="0"/>
  </r>
  <r>
    <s v="TXN-0686"/>
    <x v="214"/>
    <s v="Rizky Pratama"/>
    <x v="146"/>
    <x v="2"/>
    <x v="0"/>
    <x v="5"/>
    <x v="0"/>
    <n v="4"/>
    <x v="676"/>
    <n v="35000"/>
    <x v="3"/>
    <x v="2"/>
    <x v="0"/>
    <x v="0"/>
  </r>
  <r>
    <s v="TXN-0687"/>
    <x v="26"/>
    <s v="Nadia Santoso"/>
    <x v="120"/>
    <x v="4"/>
    <x v="1"/>
    <x v="4"/>
    <x v="1"/>
    <n v="2"/>
    <x v="677"/>
    <n v="25000"/>
    <x v="0"/>
    <x v="2"/>
    <x v="0"/>
    <x v="0"/>
  </r>
  <r>
    <s v="TXN-0688"/>
    <x v="179"/>
    <s v="Nadia Lestari"/>
    <x v="16"/>
    <x v="1"/>
    <x v="2"/>
    <x v="2"/>
    <x v="1"/>
    <n v="2"/>
    <x v="678"/>
    <n v="35000"/>
    <x v="1"/>
    <x v="1"/>
    <x v="0"/>
    <x v="0"/>
  </r>
  <r>
    <s v="TXN-0689"/>
    <x v="118"/>
    <s v="Raka Pratama"/>
    <x v="52"/>
    <x v="2"/>
    <x v="1"/>
    <x v="5"/>
    <x v="0"/>
    <n v="3"/>
    <x v="679"/>
    <n v="25000"/>
    <x v="0"/>
    <x v="2"/>
    <x v="1"/>
    <x v="0"/>
  </r>
  <r>
    <s v="TXN-0690"/>
    <x v="111"/>
    <s v="Maya Lestari"/>
    <x v="137"/>
    <x v="4"/>
    <x v="1"/>
    <x v="2"/>
    <x v="0"/>
    <n v="5"/>
    <x v="680"/>
    <n v="35000"/>
    <x v="1"/>
    <x v="3"/>
    <x v="0"/>
    <x v="0"/>
  </r>
  <r>
    <s v="TXN-0691"/>
    <x v="205"/>
    <s v="Dimas Wijaya"/>
    <x v="16"/>
    <x v="0"/>
    <x v="1"/>
    <x v="0"/>
    <x v="4"/>
    <n v="7"/>
    <x v="681"/>
    <n v="25000"/>
    <x v="2"/>
    <x v="3"/>
    <x v="1"/>
    <x v="0"/>
  </r>
  <r>
    <s v="TXN-0692"/>
    <x v="120"/>
    <s v="Citra Permata"/>
    <x v="152"/>
    <x v="0"/>
    <x v="2"/>
    <x v="1"/>
    <x v="0"/>
    <n v="2"/>
    <x v="682"/>
    <n v="35000"/>
    <x v="3"/>
    <x v="2"/>
    <x v="0"/>
    <x v="0"/>
  </r>
  <r>
    <s v="TXN-0693"/>
    <x v="36"/>
    <s v="Fajar Pratama"/>
    <x v="105"/>
    <x v="0"/>
    <x v="1"/>
    <x v="2"/>
    <x v="3"/>
    <n v="6"/>
    <x v="683"/>
    <n v="15000"/>
    <x v="0"/>
    <x v="3"/>
    <x v="0"/>
    <x v="0"/>
  </r>
  <r>
    <s v="TXN-0694"/>
    <x v="142"/>
    <s v="Fajar Lestari"/>
    <x v="31"/>
    <x v="3"/>
    <x v="3"/>
    <x v="4"/>
    <x v="2"/>
    <n v="5"/>
    <x v="684"/>
    <n v="25000"/>
    <x v="3"/>
    <x v="0"/>
    <x v="1"/>
    <x v="0"/>
  </r>
  <r>
    <s v="TXN-0695"/>
    <x v="162"/>
    <s v="Bima Wijaya"/>
    <x v="10"/>
    <x v="0"/>
    <x v="1"/>
    <x v="0"/>
    <x v="2"/>
    <n v="3"/>
    <x v="685"/>
    <n v="0"/>
    <x v="3"/>
    <x v="0"/>
    <x v="0"/>
    <x v="1"/>
  </r>
  <r>
    <s v="TXN-0696"/>
    <x v="217"/>
    <s v="Fajar Permata"/>
    <x v="139"/>
    <x v="3"/>
    <x v="1"/>
    <x v="5"/>
    <x v="0"/>
    <n v="3"/>
    <x v="686"/>
    <n v="35000"/>
    <x v="0"/>
    <x v="2"/>
    <x v="0"/>
    <x v="0"/>
  </r>
  <r>
    <s v="TXN-0697"/>
    <x v="29"/>
    <s v="Rizky Permata"/>
    <x v="57"/>
    <x v="4"/>
    <x v="1"/>
    <x v="4"/>
    <x v="0"/>
    <n v="5"/>
    <x v="687"/>
    <n v="15000"/>
    <x v="0"/>
    <x v="0"/>
    <x v="0"/>
    <x v="0"/>
  </r>
  <r>
    <s v="TXN-0698"/>
    <x v="211"/>
    <s v="Dimas Dewi"/>
    <x v="4"/>
    <x v="3"/>
    <x v="0"/>
    <x v="2"/>
    <x v="4"/>
    <n v="4"/>
    <x v="688"/>
    <n v="35000"/>
    <x v="0"/>
    <x v="2"/>
    <x v="1"/>
    <x v="0"/>
  </r>
  <r>
    <s v="TXN-0699"/>
    <x v="18"/>
    <s v="Alya Saputra"/>
    <x v="48"/>
    <x v="3"/>
    <x v="1"/>
    <x v="5"/>
    <x v="4"/>
    <n v="3"/>
    <x v="689"/>
    <n v="50000"/>
    <x v="1"/>
    <x v="1"/>
    <x v="0"/>
    <x v="0"/>
  </r>
  <r>
    <s v="TXN-0700"/>
    <x v="107"/>
    <s v="Alya Wijaya"/>
    <x v="62"/>
    <x v="4"/>
    <x v="3"/>
    <x v="0"/>
    <x v="4"/>
    <n v="7"/>
    <x v="690"/>
    <n v="0"/>
    <x v="2"/>
    <x v="3"/>
    <x v="0"/>
    <x v="1"/>
  </r>
  <r>
    <s v="TXN-0701"/>
    <x v="117"/>
    <s v="Nadia Saputra"/>
    <x v="178"/>
    <x v="2"/>
    <x v="3"/>
    <x v="2"/>
    <x v="3"/>
    <n v="3"/>
    <x v="691"/>
    <n v="15000"/>
    <x v="1"/>
    <x v="0"/>
    <x v="1"/>
    <x v="0"/>
  </r>
  <r>
    <s v="TXN-0702"/>
    <x v="75"/>
    <s v="Citra Dewi"/>
    <x v="168"/>
    <x v="3"/>
    <x v="0"/>
    <x v="3"/>
    <x v="1"/>
    <n v="3"/>
    <x v="692"/>
    <n v="25000"/>
    <x v="0"/>
    <x v="0"/>
    <x v="1"/>
    <x v="0"/>
  </r>
  <r>
    <s v="TXN-0703"/>
    <x v="224"/>
    <s v="Nadia Wijaya"/>
    <x v="165"/>
    <x v="3"/>
    <x v="0"/>
    <x v="2"/>
    <x v="0"/>
    <n v="7"/>
    <x v="693"/>
    <n v="15000"/>
    <x v="2"/>
    <x v="1"/>
    <x v="0"/>
    <x v="0"/>
  </r>
  <r>
    <s v="TXN-0704"/>
    <x v="73"/>
    <s v="Fajar Lestari"/>
    <x v="43"/>
    <x v="2"/>
    <x v="2"/>
    <x v="2"/>
    <x v="3"/>
    <n v="6"/>
    <x v="694"/>
    <n v="25000"/>
    <x v="0"/>
    <x v="4"/>
    <x v="1"/>
    <x v="5"/>
  </r>
  <r>
    <s v="TXN-0705"/>
    <x v="215"/>
    <s v="Raka Saputra"/>
    <x v="172"/>
    <x v="1"/>
    <x v="3"/>
    <x v="3"/>
    <x v="3"/>
    <n v="4"/>
    <x v="695"/>
    <n v="15000"/>
    <x v="0"/>
    <x v="2"/>
    <x v="1"/>
    <x v="0"/>
  </r>
  <r>
    <s v="TXN-0706"/>
    <x v="172"/>
    <s v="Sari Saputra"/>
    <x v="113"/>
    <x v="2"/>
    <x v="1"/>
    <x v="4"/>
    <x v="2"/>
    <n v="1"/>
    <x v="696"/>
    <n v="15000"/>
    <x v="0"/>
    <x v="2"/>
    <x v="1"/>
    <x v="0"/>
  </r>
  <r>
    <s v="TXN-0707"/>
    <x v="41"/>
    <s v="Sari Santoso"/>
    <x v="3"/>
    <x v="1"/>
    <x v="0"/>
    <x v="3"/>
    <x v="2"/>
    <n v="1"/>
    <x v="697"/>
    <n v="50000"/>
    <x v="0"/>
    <x v="0"/>
    <x v="1"/>
    <x v="0"/>
  </r>
  <r>
    <s v="TXN-0708"/>
    <x v="126"/>
    <s v="Alya Santoso"/>
    <x v="98"/>
    <x v="3"/>
    <x v="3"/>
    <x v="2"/>
    <x v="0"/>
    <n v="6"/>
    <x v="698"/>
    <n v="15000"/>
    <x v="3"/>
    <x v="2"/>
    <x v="1"/>
    <x v="0"/>
  </r>
  <r>
    <s v="TXN-0709"/>
    <x v="225"/>
    <s v="Citra Wijaya"/>
    <x v="106"/>
    <x v="0"/>
    <x v="2"/>
    <x v="1"/>
    <x v="0"/>
    <n v="6"/>
    <x v="699"/>
    <n v="25000"/>
    <x v="0"/>
    <x v="0"/>
    <x v="0"/>
    <x v="0"/>
  </r>
  <r>
    <s v="TXN-0710"/>
    <x v="56"/>
    <s v="Bima Putri"/>
    <x v="109"/>
    <x v="0"/>
    <x v="0"/>
    <x v="5"/>
    <x v="4"/>
    <n v="2"/>
    <x v="700"/>
    <n v="35000"/>
    <x v="0"/>
    <x v="2"/>
    <x v="1"/>
    <x v="0"/>
  </r>
  <r>
    <s v="TXN-0711"/>
    <x v="103"/>
    <s v="Bima Pratama"/>
    <x v="136"/>
    <x v="1"/>
    <x v="0"/>
    <x v="1"/>
    <x v="1"/>
    <n v="2"/>
    <x v="701"/>
    <n v="15000"/>
    <x v="1"/>
    <x v="0"/>
    <x v="0"/>
    <x v="0"/>
  </r>
  <r>
    <s v="TXN-0712"/>
    <x v="34"/>
    <s v="Maya Santoso"/>
    <x v="20"/>
    <x v="4"/>
    <x v="0"/>
    <x v="5"/>
    <x v="2"/>
    <n v="6"/>
    <x v="702"/>
    <n v="25000"/>
    <x v="0"/>
    <x v="2"/>
    <x v="1"/>
    <x v="0"/>
  </r>
  <r>
    <s v="TXN-0713"/>
    <x v="196"/>
    <s v="Fajar Saputra"/>
    <x v="108"/>
    <x v="1"/>
    <x v="3"/>
    <x v="3"/>
    <x v="2"/>
    <n v="5"/>
    <x v="703"/>
    <n v="0"/>
    <x v="0"/>
    <x v="0"/>
    <x v="0"/>
    <x v="1"/>
  </r>
  <r>
    <s v="TXN-0714"/>
    <x v="54"/>
    <s v="Raka Saputra"/>
    <x v="28"/>
    <x v="4"/>
    <x v="2"/>
    <x v="0"/>
    <x v="1"/>
    <n v="3"/>
    <x v="704"/>
    <n v="50000"/>
    <x v="0"/>
    <x v="2"/>
    <x v="0"/>
    <x v="0"/>
  </r>
  <r>
    <s v="TXN-0715"/>
    <x v="219"/>
    <s v="Fajar Santoso"/>
    <x v="24"/>
    <x v="3"/>
    <x v="0"/>
    <x v="2"/>
    <x v="1"/>
    <n v="6"/>
    <x v="705"/>
    <n v="50000"/>
    <x v="0"/>
    <x v="0"/>
    <x v="0"/>
    <x v="0"/>
  </r>
  <r>
    <s v="TXN-0716"/>
    <x v="160"/>
    <s v="Sari Putri"/>
    <x v="87"/>
    <x v="1"/>
    <x v="2"/>
    <x v="4"/>
    <x v="0"/>
    <n v="4"/>
    <x v="706"/>
    <n v="35000"/>
    <x v="0"/>
    <x v="0"/>
    <x v="0"/>
    <x v="0"/>
  </r>
  <r>
    <s v="TXN-0717"/>
    <x v="73"/>
    <s v="Fajar Lestari"/>
    <x v="130"/>
    <x v="0"/>
    <x v="1"/>
    <x v="1"/>
    <x v="0"/>
    <n v="3"/>
    <x v="707"/>
    <n v="35000"/>
    <x v="0"/>
    <x v="3"/>
    <x v="1"/>
    <x v="0"/>
  </r>
  <r>
    <s v="TXN-0718"/>
    <x v="211"/>
    <s v="Dimas Dewi"/>
    <x v="150"/>
    <x v="1"/>
    <x v="2"/>
    <x v="5"/>
    <x v="3"/>
    <n v="2"/>
    <x v="708"/>
    <n v="35000"/>
    <x v="0"/>
    <x v="2"/>
    <x v="0"/>
    <x v="0"/>
  </r>
  <r>
    <s v="TXN-0719"/>
    <x v="173"/>
    <s v="Raka Wijaya"/>
    <x v="174"/>
    <x v="0"/>
    <x v="2"/>
    <x v="3"/>
    <x v="2"/>
    <n v="6"/>
    <x v="709"/>
    <n v="50000"/>
    <x v="0"/>
    <x v="0"/>
    <x v="0"/>
    <x v="0"/>
  </r>
  <r>
    <s v="TXN-0720"/>
    <x v="205"/>
    <s v="Dimas Wijaya"/>
    <x v="155"/>
    <x v="1"/>
    <x v="1"/>
    <x v="2"/>
    <x v="1"/>
    <n v="5"/>
    <x v="710"/>
    <n v="35000"/>
    <x v="0"/>
    <x v="2"/>
    <x v="1"/>
    <x v="0"/>
  </r>
  <r>
    <s v="TXN-0721"/>
    <x v="226"/>
    <s v="Nadia Saputra"/>
    <x v="130"/>
    <x v="2"/>
    <x v="3"/>
    <x v="1"/>
    <x v="0"/>
    <n v="6"/>
    <x v="711"/>
    <n v="25000"/>
    <x v="0"/>
    <x v="0"/>
    <x v="0"/>
    <x v="0"/>
  </r>
  <r>
    <s v="TXN-0722"/>
    <x v="92"/>
    <s v="Raka Santoso"/>
    <x v="90"/>
    <x v="1"/>
    <x v="1"/>
    <x v="5"/>
    <x v="3"/>
    <n v="5"/>
    <x v="712"/>
    <n v="25000"/>
    <x v="2"/>
    <x v="3"/>
    <x v="1"/>
    <x v="0"/>
  </r>
  <r>
    <s v="TXN-0723"/>
    <x v="227"/>
    <s v="Bima Lestari"/>
    <x v="139"/>
    <x v="0"/>
    <x v="1"/>
    <x v="0"/>
    <x v="4"/>
    <n v="5"/>
    <x v="713"/>
    <n v="25000"/>
    <x v="0"/>
    <x v="3"/>
    <x v="1"/>
    <x v="0"/>
  </r>
  <r>
    <s v="TXN-0724"/>
    <x v="179"/>
    <s v="Nadia Lestari"/>
    <x v="39"/>
    <x v="4"/>
    <x v="3"/>
    <x v="2"/>
    <x v="0"/>
    <n v="4"/>
    <x v="714"/>
    <n v="15000"/>
    <x v="0"/>
    <x v="3"/>
    <x v="0"/>
    <x v="0"/>
  </r>
  <r>
    <s v="TXN-0725"/>
    <x v="178"/>
    <s v="Rizky Dewi"/>
    <x v="151"/>
    <x v="4"/>
    <x v="3"/>
    <x v="2"/>
    <x v="1"/>
    <n v="5"/>
    <x v="715"/>
    <n v="35000"/>
    <x v="3"/>
    <x v="1"/>
    <x v="1"/>
    <x v="0"/>
  </r>
  <r>
    <s v="TXN-0726"/>
    <x v="108"/>
    <s v="Maya Permata"/>
    <x v="26"/>
    <x v="0"/>
    <x v="3"/>
    <x v="0"/>
    <x v="3"/>
    <n v="7"/>
    <x v="716"/>
    <n v="25000"/>
    <x v="0"/>
    <x v="0"/>
    <x v="0"/>
    <x v="0"/>
  </r>
  <r>
    <s v="TXN-0727"/>
    <x v="223"/>
    <s v="Nadia Putri"/>
    <x v="159"/>
    <x v="0"/>
    <x v="3"/>
    <x v="0"/>
    <x v="2"/>
    <n v="4"/>
    <x v="717"/>
    <n v="25000"/>
    <x v="2"/>
    <x v="3"/>
    <x v="1"/>
    <x v="0"/>
  </r>
  <r>
    <s v="TXN-0728"/>
    <x v="176"/>
    <s v="Nadia Putri"/>
    <x v="167"/>
    <x v="3"/>
    <x v="0"/>
    <x v="0"/>
    <x v="0"/>
    <n v="7"/>
    <x v="718"/>
    <n v="15000"/>
    <x v="0"/>
    <x v="0"/>
    <x v="1"/>
    <x v="0"/>
  </r>
  <r>
    <s v="TXN-0729"/>
    <x v="90"/>
    <s v="Nadia Permata"/>
    <x v="99"/>
    <x v="0"/>
    <x v="2"/>
    <x v="3"/>
    <x v="1"/>
    <n v="1"/>
    <x v="719"/>
    <n v="35000"/>
    <x v="0"/>
    <x v="3"/>
    <x v="1"/>
    <x v="0"/>
  </r>
  <r>
    <s v="TXN-0730"/>
    <x v="168"/>
    <s v="Fajar Santoso"/>
    <x v="21"/>
    <x v="2"/>
    <x v="2"/>
    <x v="0"/>
    <x v="0"/>
    <n v="3"/>
    <x v="59"/>
    <n v="0"/>
    <x v="0"/>
    <x v="2"/>
    <x v="1"/>
    <x v="11"/>
  </r>
  <r>
    <s v="TXN-0731"/>
    <x v="183"/>
    <s v="Fajar Saputra"/>
    <x v="150"/>
    <x v="0"/>
    <x v="0"/>
    <x v="3"/>
    <x v="1"/>
    <n v="7"/>
    <x v="720"/>
    <n v="0"/>
    <x v="0"/>
    <x v="0"/>
    <x v="1"/>
    <x v="1"/>
  </r>
  <r>
    <s v="TXN-0732"/>
    <x v="213"/>
    <s v="Alya Putri"/>
    <x v="156"/>
    <x v="3"/>
    <x v="0"/>
    <x v="0"/>
    <x v="4"/>
    <n v="2"/>
    <x v="721"/>
    <n v="35000"/>
    <x v="0"/>
    <x v="3"/>
    <x v="1"/>
    <x v="0"/>
  </r>
  <r>
    <s v="TXN-0733"/>
    <x v="116"/>
    <s v="Citra Putri"/>
    <x v="41"/>
    <x v="0"/>
    <x v="3"/>
    <x v="1"/>
    <x v="0"/>
    <n v="4"/>
    <x v="722"/>
    <n v="15000"/>
    <x v="0"/>
    <x v="2"/>
    <x v="1"/>
    <x v="0"/>
  </r>
  <r>
    <s v="TXN-0734"/>
    <x v="169"/>
    <s v="Nadia Lestari"/>
    <x v="28"/>
    <x v="1"/>
    <x v="2"/>
    <x v="1"/>
    <x v="2"/>
    <n v="1"/>
    <x v="723"/>
    <n v="25000"/>
    <x v="0"/>
    <x v="0"/>
    <x v="0"/>
    <x v="0"/>
  </r>
  <r>
    <s v="TXN-0735"/>
    <x v="171"/>
    <s v="Dimas Permata"/>
    <x v="68"/>
    <x v="0"/>
    <x v="3"/>
    <x v="0"/>
    <x v="0"/>
    <n v="7"/>
    <x v="724"/>
    <n v="50000"/>
    <x v="0"/>
    <x v="2"/>
    <x v="1"/>
    <x v="0"/>
  </r>
  <r>
    <s v="TXN-0736"/>
    <x v="126"/>
    <s v="Alya Santoso"/>
    <x v="160"/>
    <x v="1"/>
    <x v="3"/>
    <x v="4"/>
    <x v="0"/>
    <n v="1"/>
    <x v="725"/>
    <n v="0"/>
    <x v="0"/>
    <x v="0"/>
    <x v="1"/>
    <x v="1"/>
  </r>
  <r>
    <s v="TXN-0737"/>
    <x v="166"/>
    <s v="Rizky Putri"/>
    <x v="125"/>
    <x v="1"/>
    <x v="3"/>
    <x v="1"/>
    <x v="3"/>
    <n v="3"/>
    <x v="726"/>
    <n v="25000"/>
    <x v="0"/>
    <x v="0"/>
    <x v="0"/>
    <x v="0"/>
  </r>
  <r>
    <s v="TXN-0738"/>
    <x v="228"/>
    <s v="Nadia Saputra"/>
    <x v="34"/>
    <x v="0"/>
    <x v="1"/>
    <x v="1"/>
    <x v="1"/>
    <n v="1"/>
    <x v="727"/>
    <n v="50000"/>
    <x v="0"/>
    <x v="0"/>
    <x v="1"/>
    <x v="0"/>
  </r>
  <r>
    <s v="TXN-0739"/>
    <x v="199"/>
    <s v="Fajar Pratama"/>
    <x v="63"/>
    <x v="1"/>
    <x v="1"/>
    <x v="5"/>
    <x v="4"/>
    <n v="3"/>
    <x v="728"/>
    <n v="50000"/>
    <x v="0"/>
    <x v="3"/>
    <x v="1"/>
    <x v="0"/>
  </r>
  <r>
    <s v="TXN-0740"/>
    <x v="175"/>
    <s v="Dimas Saputra"/>
    <x v="6"/>
    <x v="0"/>
    <x v="0"/>
    <x v="0"/>
    <x v="0"/>
    <n v="5"/>
    <x v="729"/>
    <n v="25000"/>
    <x v="0"/>
    <x v="0"/>
    <x v="0"/>
    <x v="0"/>
  </r>
  <r>
    <s v="TXN-0741"/>
    <x v="15"/>
    <s v="Fajar Lestari"/>
    <x v="172"/>
    <x v="2"/>
    <x v="2"/>
    <x v="5"/>
    <x v="0"/>
    <n v="6"/>
    <x v="730"/>
    <n v="0"/>
    <x v="0"/>
    <x v="2"/>
    <x v="1"/>
    <x v="1"/>
  </r>
  <r>
    <s v="TXN-0742"/>
    <x v="88"/>
    <s v="Maya Saputra"/>
    <x v="43"/>
    <x v="4"/>
    <x v="1"/>
    <x v="1"/>
    <x v="3"/>
    <n v="2"/>
    <x v="731"/>
    <n v="15000"/>
    <x v="0"/>
    <x v="0"/>
    <x v="0"/>
    <x v="0"/>
  </r>
  <r>
    <s v="TXN-0743"/>
    <x v="138"/>
    <s v="Fajar Santoso"/>
    <x v="36"/>
    <x v="4"/>
    <x v="3"/>
    <x v="5"/>
    <x v="0"/>
    <n v="7"/>
    <x v="732"/>
    <n v="50000"/>
    <x v="0"/>
    <x v="0"/>
    <x v="0"/>
    <x v="2"/>
  </r>
  <r>
    <s v="TXN-0744"/>
    <x v="204"/>
    <s v="Raka Putri"/>
    <x v="40"/>
    <x v="1"/>
    <x v="2"/>
    <x v="1"/>
    <x v="4"/>
    <n v="4"/>
    <x v="733"/>
    <n v="25000"/>
    <x v="2"/>
    <x v="0"/>
    <x v="0"/>
    <x v="0"/>
  </r>
  <r>
    <s v="TXN-0745"/>
    <x v="124"/>
    <s v="Nadia Pratama"/>
    <x v="55"/>
    <x v="3"/>
    <x v="3"/>
    <x v="4"/>
    <x v="3"/>
    <n v="5"/>
    <x v="734"/>
    <n v="0"/>
    <x v="0"/>
    <x v="2"/>
    <x v="1"/>
    <x v="1"/>
  </r>
  <r>
    <s v="TXN-0746"/>
    <x v="76"/>
    <s v="Maya Pratama"/>
    <x v="21"/>
    <x v="0"/>
    <x v="2"/>
    <x v="3"/>
    <x v="3"/>
    <n v="2"/>
    <x v="735"/>
    <n v="50000"/>
    <x v="0"/>
    <x v="0"/>
    <x v="1"/>
    <x v="0"/>
  </r>
  <r>
    <s v="TXN-0747"/>
    <x v="3"/>
    <s v="Dimas Lestari"/>
    <x v="51"/>
    <x v="0"/>
    <x v="0"/>
    <x v="2"/>
    <x v="0"/>
    <n v="7"/>
    <x v="736"/>
    <n v="25000"/>
    <x v="0"/>
    <x v="2"/>
    <x v="1"/>
    <x v="0"/>
  </r>
  <r>
    <s v="TXN-0748"/>
    <x v="177"/>
    <s v="Dimas Saputra"/>
    <x v="179"/>
    <x v="0"/>
    <x v="2"/>
    <x v="1"/>
    <x v="4"/>
    <n v="2"/>
    <x v="737"/>
    <n v="35000"/>
    <x v="0"/>
    <x v="2"/>
    <x v="0"/>
    <x v="0"/>
  </r>
  <r>
    <s v="TXN-0749"/>
    <x v="31"/>
    <s v="Nadia Pratama"/>
    <x v="48"/>
    <x v="3"/>
    <x v="2"/>
    <x v="3"/>
    <x v="1"/>
    <n v="1"/>
    <x v="738"/>
    <n v="35000"/>
    <x v="0"/>
    <x v="2"/>
    <x v="1"/>
    <x v="0"/>
  </r>
  <r>
    <s v="TXN-0750"/>
    <x v="95"/>
    <s v="Citra Pratama"/>
    <x v="40"/>
    <x v="3"/>
    <x v="3"/>
    <x v="0"/>
    <x v="3"/>
    <n v="4"/>
    <x v="739"/>
    <n v="35000"/>
    <x v="0"/>
    <x v="2"/>
    <x v="0"/>
    <x v="0"/>
  </r>
  <r>
    <s v="TXN-0751"/>
    <x v="58"/>
    <s v="Rizky Putri"/>
    <x v="135"/>
    <x v="3"/>
    <x v="3"/>
    <x v="1"/>
    <x v="1"/>
    <n v="7"/>
    <x v="740"/>
    <n v="25000"/>
    <x v="0"/>
    <x v="0"/>
    <x v="0"/>
    <x v="0"/>
  </r>
  <r>
    <s v="TXN-0752"/>
    <x v="108"/>
    <s v="Maya Permata"/>
    <x v="128"/>
    <x v="1"/>
    <x v="1"/>
    <x v="0"/>
    <x v="3"/>
    <n v="3"/>
    <x v="741"/>
    <n v="25000"/>
    <x v="0"/>
    <x v="0"/>
    <x v="1"/>
    <x v="0"/>
  </r>
  <r>
    <s v="TXN-0753"/>
    <x v="183"/>
    <s v="Fajar Saputra"/>
    <x v="59"/>
    <x v="4"/>
    <x v="0"/>
    <x v="5"/>
    <x v="1"/>
    <n v="2"/>
    <x v="742"/>
    <n v="35000"/>
    <x v="0"/>
    <x v="0"/>
    <x v="0"/>
    <x v="0"/>
  </r>
  <r>
    <s v="TXN-0754"/>
    <x v="159"/>
    <s v="Citra Lestari"/>
    <x v="180"/>
    <x v="1"/>
    <x v="2"/>
    <x v="1"/>
    <x v="0"/>
    <n v="3"/>
    <x v="743"/>
    <n v="50000"/>
    <x v="1"/>
    <x v="3"/>
    <x v="1"/>
    <x v="0"/>
  </r>
  <r>
    <s v="TXN-0755"/>
    <x v="92"/>
    <s v="Raka Santoso"/>
    <x v="167"/>
    <x v="0"/>
    <x v="1"/>
    <x v="5"/>
    <x v="1"/>
    <n v="3"/>
    <x v="744"/>
    <n v="50000"/>
    <x v="0"/>
    <x v="3"/>
    <x v="1"/>
    <x v="0"/>
  </r>
  <r>
    <s v="TXN-0756"/>
    <x v="229"/>
    <s v="Dimas Santoso"/>
    <x v="110"/>
    <x v="3"/>
    <x v="0"/>
    <x v="1"/>
    <x v="0"/>
    <n v="5"/>
    <x v="745"/>
    <n v="50000"/>
    <x v="0"/>
    <x v="2"/>
    <x v="1"/>
    <x v="0"/>
  </r>
  <r>
    <s v="TXN-0757"/>
    <x v="44"/>
    <s v="Rizky Dewi"/>
    <x v="67"/>
    <x v="2"/>
    <x v="2"/>
    <x v="1"/>
    <x v="1"/>
    <n v="3"/>
    <x v="746"/>
    <n v="0"/>
    <x v="0"/>
    <x v="3"/>
    <x v="1"/>
    <x v="1"/>
  </r>
  <r>
    <s v="TXN-0758"/>
    <x v="59"/>
    <s v="Raka Pratama"/>
    <x v="142"/>
    <x v="0"/>
    <x v="3"/>
    <x v="1"/>
    <x v="2"/>
    <n v="2"/>
    <x v="747"/>
    <n v="0"/>
    <x v="0"/>
    <x v="0"/>
    <x v="0"/>
    <x v="1"/>
  </r>
  <r>
    <s v="TXN-0759"/>
    <x v="25"/>
    <s v="Maya Santoso"/>
    <x v="123"/>
    <x v="2"/>
    <x v="3"/>
    <x v="5"/>
    <x v="2"/>
    <n v="7"/>
    <x v="748"/>
    <n v="15000"/>
    <x v="0"/>
    <x v="3"/>
    <x v="1"/>
    <x v="0"/>
  </r>
  <r>
    <s v="TXN-0760"/>
    <x v="74"/>
    <s v="Nadia Pratama"/>
    <x v="80"/>
    <x v="1"/>
    <x v="3"/>
    <x v="2"/>
    <x v="3"/>
    <n v="2"/>
    <x v="749"/>
    <n v="15000"/>
    <x v="1"/>
    <x v="2"/>
    <x v="0"/>
    <x v="0"/>
  </r>
  <r>
    <s v="TXN-0761"/>
    <x v="162"/>
    <s v="Bima Wijaya"/>
    <x v="82"/>
    <x v="2"/>
    <x v="2"/>
    <x v="3"/>
    <x v="4"/>
    <n v="4"/>
    <x v="750"/>
    <n v="25000"/>
    <x v="0"/>
    <x v="2"/>
    <x v="1"/>
    <x v="0"/>
  </r>
  <r>
    <s v="TXN-0762"/>
    <x v="107"/>
    <s v="Alya Wijaya"/>
    <x v="24"/>
    <x v="1"/>
    <x v="2"/>
    <x v="1"/>
    <x v="2"/>
    <n v="3"/>
    <x v="751"/>
    <n v="35000"/>
    <x v="0"/>
    <x v="2"/>
    <x v="0"/>
    <x v="0"/>
  </r>
  <r>
    <s v="TXN-0763"/>
    <x v="20"/>
    <s v="Rizky Santoso"/>
    <x v="147"/>
    <x v="3"/>
    <x v="2"/>
    <x v="0"/>
    <x v="4"/>
    <n v="1"/>
    <x v="752"/>
    <n v="35000"/>
    <x v="0"/>
    <x v="1"/>
    <x v="1"/>
    <x v="0"/>
  </r>
  <r>
    <s v="TXN-0764"/>
    <x v="101"/>
    <s v="Fajar Saputra"/>
    <x v="103"/>
    <x v="1"/>
    <x v="3"/>
    <x v="0"/>
    <x v="3"/>
    <n v="4"/>
    <x v="753"/>
    <n v="35000"/>
    <x v="0"/>
    <x v="2"/>
    <x v="0"/>
    <x v="0"/>
  </r>
  <r>
    <s v="TXN-0765"/>
    <x v="34"/>
    <s v="Maya Santoso"/>
    <x v="166"/>
    <x v="3"/>
    <x v="2"/>
    <x v="4"/>
    <x v="4"/>
    <n v="1"/>
    <x v="754"/>
    <n v="0"/>
    <x v="0"/>
    <x v="0"/>
    <x v="1"/>
    <x v="1"/>
  </r>
  <r>
    <s v="TXN-0766"/>
    <x v="138"/>
    <s v="Fajar Santoso"/>
    <x v="26"/>
    <x v="3"/>
    <x v="0"/>
    <x v="1"/>
    <x v="2"/>
    <n v="7"/>
    <x v="755"/>
    <n v="35000"/>
    <x v="3"/>
    <x v="0"/>
    <x v="0"/>
    <x v="0"/>
  </r>
  <r>
    <s v="TXN-0767"/>
    <x v="96"/>
    <s v="Nadia Lestari"/>
    <x v="181"/>
    <x v="3"/>
    <x v="1"/>
    <x v="4"/>
    <x v="0"/>
    <n v="1"/>
    <x v="756"/>
    <n v="15000"/>
    <x v="0"/>
    <x v="2"/>
    <x v="0"/>
    <x v="0"/>
  </r>
  <r>
    <s v="TXN-0768"/>
    <x v="47"/>
    <s v="Dimas Santoso"/>
    <x v="111"/>
    <x v="0"/>
    <x v="2"/>
    <x v="4"/>
    <x v="3"/>
    <n v="7"/>
    <x v="757"/>
    <n v="35000"/>
    <x v="0"/>
    <x v="0"/>
    <x v="1"/>
    <x v="0"/>
  </r>
  <r>
    <s v="TXN-0769"/>
    <x v="174"/>
    <s v="Citra Wijaya"/>
    <x v="89"/>
    <x v="3"/>
    <x v="3"/>
    <x v="5"/>
    <x v="0"/>
    <n v="6"/>
    <x v="758"/>
    <n v="15000"/>
    <x v="0"/>
    <x v="0"/>
    <x v="1"/>
    <x v="0"/>
  </r>
  <r>
    <s v="TXN-0770"/>
    <x v="181"/>
    <s v="Maya Dewi"/>
    <x v="54"/>
    <x v="1"/>
    <x v="3"/>
    <x v="3"/>
    <x v="4"/>
    <n v="4"/>
    <x v="759"/>
    <n v="0"/>
    <x v="0"/>
    <x v="3"/>
    <x v="0"/>
    <x v="1"/>
  </r>
  <r>
    <s v="TXN-0771"/>
    <x v="210"/>
    <s v="Sari Putri"/>
    <x v="17"/>
    <x v="1"/>
    <x v="3"/>
    <x v="4"/>
    <x v="2"/>
    <n v="4"/>
    <x v="760"/>
    <n v="35000"/>
    <x v="0"/>
    <x v="0"/>
    <x v="0"/>
    <x v="0"/>
  </r>
  <r>
    <s v="TXN-0772"/>
    <x v="195"/>
    <s v="Alya Santoso"/>
    <x v="55"/>
    <x v="0"/>
    <x v="3"/>
    <x v="4"/>
    <x v="0"/>
    <n v="4"/>
    <x v="761"/>
    <n v="35000"/>
    <x v="0"/>
    <x v="2"/>
    <x v="1"/>
    <x v="0"/>
  </r>
  <r>
    <s v="TXN-0773"/>
    <x v="170"/>
    <s v="Bima Permata"/>
    <x v="78"/>
    <x v="3"/>
    <x v="1"/>
    <x v="1"/>
    <x v="1"/>
    <n v="6"/>
    <x v="762"/>
    <n v="35000"/>
    <x v="2"/>
    <x v="0"/>
    <x v="1"/>
    <x v="0"/>
  </r>
  <r>
    <s v="TXN-0774"/>
    <x v="223"/>
    <s v="Nadia Putri"/>
    <x v="4"/>
    <x v="1"/>
    <x v="3"/>
    <x v="0"/>
    <x v="2"/>
    <n v="2"/>
    <x v="763"/>
    <n v="15000"/>
    <x v="0"/>
    <x v="0"/>
    <x v="1"/>
    <x v="0"/>
  </r>
  <r>
    <s v="TXN-0775"/>
    <x v="135"/>
    <s v="Nadia Lestari"/>
    <x v="64"/>
    <x v="0"/>
    <x v="0"/>
    <x v="5"/>
    <x v="1"/>
    <n v="5"/>
    <x v="764"/>
    <n v="50000"/>
    <x v="0"/>
    <x v="3"/>
    <x v="1"/>
    <x v="0"/>
  </r>
  <r>
    <s v="TXN-0776"/>
    <x v="79"/>
    <s v="Rizky Wijaya"/>
    <x v="176"/>
    <x v="2"/>
    <x v="3"/>
    <x v="5"/>
    <x v="0"/>
    <m/>
    <x v="765"/>
    <n v="35000"/>
    <x v="0"/>
    <x v="2"/>
    <x v="1"/>
    <x v="6"/>
  </r>
  <r>
    <s v="TXN-0777"/>
    <x v="7"/>
    <s v="Alya Lestari"/>
    <x v="155"/>
    <x v="1"/>
    <x v="0"/>
    <x v="5"/>
    <x v="3"/>
    <n v="1"/>
    <x v="766"/>
    <n v="50000"/>
    <x v="0"/>
    <x v="2"/>
    <x v="0"/>
    <x v="0"/>
  </r>
  <r>
    <s v="TXN-0778"/>
    <x v="115"/>
    <s v="Alya Dewi"/>
    <x v="180"/>
    <x v="4"/>
    <x v="2"/>
    <x v="2"/>
    <x v="4"/>
    <n v="7"/>
    <x v="767"/>
    <n v="25000"/>
    <x v="0"/>
    <x v="2"/>
    <x v="1"/>
    <x v="0"/>
  </r>
  <r>
    <s v="TXN-0779"/>
    <x v="230"/>
    <s v="Rizky Putri"/>
    <x v="113"/>
    <x v="0"/>
    <x v="1"/>
    <x v="1"/>
    <x v="4"/>
    <n v="7"/>
    <x v="768"/>
    <n v="50000"/>
    <x v="0"/>
    <x v="0"/>
    <x v="0"/>
    <x v="0"/>
  </r>
  <r>
    <s v="TXN-0780"/>
    <x v="55"/>
    <s v="Bima Santoso"/>
    <x v="42"/>
    <x v="0"/>
    <x v="3"/>
    <x v="0"/>
    <x v="3"/>
    <n v="1"/>
    <x v="769"/>
    <n v="50000"/>
    <x v="0"/>
    <x v="0"/>
    <x v="0"/>
    <x v="0"/>
  </r>
  <r>
    <s v="TXN-0781"/>
    <x v="3"/>
    <s v="Dimas Lestari"/>
    <x v="52"/>
    <x v="4"/>
    <x v="2"/>
    <x v="1"/>
    <x v="1"/>
    <n v="7"/>
    <x v="770"/>
    <n v="25000"/>
    <x v="0"/>
    <x v="2"/>
    <x v="0"/>
    <x v="0"/>
  </r>
  <r>
    <s v="TXN-0782"/>
    <x v="206"/>
    <s v="Rizky Saputra"/>
    <x v="33"/>
    <x v="1"/>
    <x v="0"/>
    <x v="4"/>
    <x v="1"/>
    <n v="5"/>
    <x v="771"/>
    <n v="50000"/>
    <x v="0"/>
    <x v="0"/>
    <x v="0"/>
    <x v="0"/>
  </r>
  <r>
    <s v="TXN-0783"/>
    <x v="33"/>
    <s v="Fajar Saputra"/>
    <x v="163"/>
    <x v="4"/>
    <x v="1"/>
    <x v="0"/>
    <x v="3"/>
    <n v="6"/>
    <x v="772"/>
    <n v="25000"/>
    <x v="0"/>
    <x v="2"/>
    <x v="1"/>
    <x v="0"/>
  </r>
  <r>
    <s v="TXN-0784"/>
    <x v="198"/>
    <s v="Bima Lestari"/>
    <x v="174"/>
    <x v="4"/>
    <x v="2"/>
    <x v="3"/>
    <x v="0"/>
    <n v="2"/>
    <x v="773"/>
    <n v="25000"/>
    <x v="1"/>
    <x v="3"/>
    <x v="1"/>
    <x v="0"/>
  </r>
  <r>
    <s v="TXN-0785"/>
    <x v="180"/>
    <s v="Rizky Dewi"/>
    <x v="33"/>
    <x v="2"/>
    <x v="0"/>
    <x v="5"/>
    <x v="1"/>
    <n v="6"/>
    <x v="774"/>
    <n v="15000"/>
    <x v="0"/>
    <x v="0"/>
    <x v="1"/>
    <x v="0"/>
  </r>
  <r>
    <s v="TXN-0786"/>
    <x v="29"/>
    <s v="Rizky Permata"/>
    <x v="65"/>
    <x v="1"/>
    <x v="0"/>
    <x v="5"/>
    <x v="1"/>
    <n v="5"/>
    <x v="775"/>
    <n v="15000"/>
    <x v="1"/>
    <x v="0"/>
    <x v="0"/>
    <x v="0"/>
  </r>
  <r>
    <s v="TXN-0787"/>
    <x v="68"/>
    <s v="Sari Pratama"/>
    <x v="23"/>
    <x v="4"/>
    <x v="3"/>
    <x v="2"/>
    <x v="4"/>
    <n v="3"/>
    <x v="776"/>
    <n v="50000"/>
    <x v="0"/>
    <x v="0"/>
    <x v="0"/>
    <x v="0"/>
  </r>
  <r>
    <s v="TXN-0788"/>
    <x v="149"/>
    <s v="Maya Putri"/>
    <x v="155"/>
    <x v="2"/>
    <x v="0"/>
    <x v="1"/>
    <x v="4"/>
    <n v="4"/>
    <x v="777"/>
    <n v="25000"/>
    <x v="0"/>
    <x v="1"/>
    <x v="0"/>
    <x v="0"/>
  </r>
  <r>
    <s v="TXN-0789"/>
    <x v="189"/>
    <s v="Rizky Dewi"/>
    <x v="135"/>
    <x v="1"/>
    <x v="0"/>
    <x v="4"/>
    <x v="0"/>
    <n v="6"/>
    <x v="778"/>
    <n v="35000"/>
    <x v="2"/>
    <x v="3"/>
    <x v="1"/>
    <x v="0"/>
  </r>
  <r>
    <s v="TXN-0790"/>
    <x v="109"/>
    <s v="Sari Santoso"/>
    <x v="28"/>
    <x v="2"/>
    <x v="0"/>
    <x v="5"/>
    <x v="2"/>
    <n v="7"/>
    <x v="779"/>
    <n v="0"/>
    <x v="0"/>
    <x v="2"/>
    <x v="0"/>
    <x v="1"/>
  </r>
  <r>
    <s v="TXN-0791"/>
    <x v="204"/>
    <s v="Raka Putri"/>
    <x v="4"/>
    <x v="4"/>
    <x v="0"/>
    <x v="2"/>
    <x v="0"/>
    <n v="1"/>
    <x v="780"/>
    <n v="0"/>
    <x v="0"/>
    <x v="1"/>
    <x v="1"/>
    <x v="1"/>
  </r>
  <r>
    <s v="TXN-0792"/>
    <x v="139"/>
    <s v="Raka Wijaya"/>
    <x v="8"/>
    <x v="4"/>
    <x v="1"/>
    <x v="5"/>
    <x v="1"/>
    <n v="3"/>
    <x v="781"/>
    <n v="50000"/>
    <x v="1"/>
    <x v="4"/>
    <x v="1"/>
    <x v="5"/>
  </r>
  <r>
    <s v="TXN-0793"/>
    <x v="10"/>
    <s v="Maya Pratama"/>
    <x v="166"/>
    <x v="4"/>
    <x v="2"/>
    <x v="4"/>
    <x v="2"/>
    <n v="1"/>
    <x v="782"/>
    <n v="15000"/>
    <x v="0"/>
    <x v="0"/>
    <x v="1"/>
    <x v="0"/>
  </r>
  <r>
    <s v="TXN-0794"/>
    <x v="61"/>
    <s v="Dimas Santoso"/>
    <x v="101"/>
    <x v="0"/>
    <x v="0"/>
    <x v="4"/>
    <x v="2"/>
    <n v="4"/>
    <x v="783"/>
    <n v="15000"/>
    <x v="0"/>
    <x v="3"/>
    <x v="1"/>
    <x v="0"/>
  </r>
  <r>
    <s v="TXN-0795"/>
    <x v="182"/>
    <s v="Dimas Dewi"/>
    <x v="36"/>
    <x v="0"/>
    <x v="1"/>
    <x v="4"/>
    <x v="2"/>
    <n v="7"/>
    <x v="784"/>
    <n v="50000"/>
    <x v="0"/>
    <x v="0"/>
    <x v="0"/>
    <x v="2"/>
  </r>
  <r>
    <s v="TXN-0796"/>
    <x v="140"/>
    <s v="Bima Dewi"/>
    <x v="21"/>
    <x v="3"/>
    <x v="0"/>
    <x v="5"/>
    <x v="1"/>
    <n v="6"/>
    <x v="785"/>
    <n v="15000"/>
    <x v="1"/>
    <x v="1"/>
    <x v="0"/>
    <x v="0"/>
  </r>
  <r>
    <s v="TXN-0797"/>
    <x v="108"/>
    <s v="Maya Permata"/>
    <x v="64"/>
    <x v="1"/>
    <x v="1"/>
    <x v="0"/>
    <x v="0"/>
    <n v="1"/>
    <x v="59"/>
    <n v="25000"/>
    <x v="0"/>
    <x v="0"/>
    <x v="1"/>
    <x v="3"/>
  </r>
  <r>
    <s v="TXN-0798"/>
    <x v="32"/>
    <s v="Fajar Pratama"/>
    <x v="82"/>
    <x v="4"/>
    <x v="2"/>
    <x v="0"/>
    <x v="0"/>
    <n v="7"/>
    <x v="786"/>
    <n v="15000"/>
    <x v="0"/>
    <x v="2"/>
    <x v="0"/>
    <x v="0"/>
  </r>
  <r>
    <s v="TXN-0799"/>
    <x v="188"/>
    <s v="Nadia Pratama"/>
    <x v="128"/>
    <x v="3"/>
    <x v="2"/>
    <x v="3"/>
    <x v="2"/>
    <n v="4"/>
    <x v="787"/>
    <n v="50000"/>
    <x v="2"/>
    <x v="3"/>
    <x v="0"/>
    <x v="0"/>
  </r>
  <r>
    <s v="TXN-0800"/>
    <x v="170"/>
    <s v="Bima Permata"/>
    <x v="12"/>
    <x v="1"/>
    <x v="3"/>
    <x v="2"/>
    <x v="3"/>
    <n v="1"/>
    <x v="788"/>
    <n v="35000"/>
    <x v="0"/>
    <x v="0"/>
    <x v="0"/>
    <x v="0"/>
  </r>
  <r>
    <s v="TXN-0801"/>
    <x v="173"/>
    <s v="Raka Wijaya"/>
    <x v="135"/>
    <x v="2"/>
    <x v="1"/>
    <x v="4"/>
    <x v="1"/>
    <n v="4"/>
    <x v="789"/>
    <n v="25000"/>
    <x v="0"/>
    <x v="2"/>
    <x v="0"/>
    <x v="0"/>
  </r>
  <r>
    <s v="TXN-0802"/>
    <x v="225"/>
    <s v="Citra Wijaya"/>
    <x v="153"/>
    <x v="4"/>
    <x v="3"/>
    <x v="1"/>
    <x v="3"/>
    <n v="1"/>
    <x v="790"/>
    <n v="15000"/>
    <x v="0"/>
    <x v="0"/>
    <x v="0"/>
    <x v="0"/>
  </r>
  <r>
    <s v="TXN-0803"/>
    <x v="231"/>
    <s v="Bima Wijaya"/>
    <x v="80"/>
    <x v="0"/>
    <x v="3"/>
    <x v="5"/>
    <x v="2"/>
    <n v="3"/>
    <x v="791"/>
    <n v="35000"/>
    <x v="1"/>
    <x v="3"/>
    <x v="1"/>
    <x v="0"/>
  </r>
  <r>
    <s v="TXN-0804"/>
    <x v="170"/>
    <s v="Bima Permata"/>
    <x v="124"/>
    <x v="0"/>
    <x v="1"/>
    <x v="4"/>
    <x v="0"/>
    <n v="5"/>
    <x v="792"/>
    <n v="25000"/>
    <x v="0"/>
    <x v="0"/>
    <x v="1"/>
    <x v="0"/>
  </r>
  <r>
    <s v="TXN-0805"/>
    <x v="57"/>
    <s v="Citra Santoso"/>
    <x v="141"/>
    <x v="4"/>
    <x v="1"/>
    <x v="5"/>
    <x v="4"/>
    <n v="5"/>
    <x v="793"/>
    <n v="15000"/>
    <x v="0"/>
    <x v="0"/>
    <x v="1"/>
    <x v="0"/>
  </r>
  <r>
    <s v="TXN-0806"/>
    <x v="142"/>
    <s v="Fajar Lestari"/>
    <x v="143"/>
    <x v="2"/>
    <x v="3"/>
    <x v="2"/>
    <x v="0"/>
    <n v="7"/>
    <x v="794"/>
    <n v="15000"/>
    <x v="0"/>
    <x v="3"/>
    <x v="1"/>
    <x v="0"/>
  </r>
  <r>
    <s v="TXN-0807"/>
    <x v="225"/>
    <s v="Citra Wijaya"/>
    <x v="169"/>
    <x v="4"/>
    <x v="2"/>
    <x v="5"/>
    <x v="1"/>
    <n v="2"/>
    <x v="795"/>
    <n v="15000"/>
    <x v="1"/>
    <x v="3"/>
    <x v="1"/>
    <x v="0"/>
  </r>
  <r>
    <s v="TXN-0808"/>
    <x v="179"/>
    <s v="Nadia Lestari"/>
    <x v="11"/>
    <x v="1"/>
    <x v="1"/>
    <x v="4"/>
    <x v="3"/>
    <n v="6"/>
    <x v="796"/>
    <n v="15000"/>
    <x v="0"/>
    <x v="2"/>
    <x v="0"/>
    <x v="0"/>
  </r>
  <r>
    <s v="TXN-0809"/>
    <x v="157"/>
    <s v="Maya Permata"/>
    <x v="24"/>
    <x v="1"/>
    <x v="0"/>
    <x v="1"/>
    <x v="4"/>
    <n v="5"/>
    <x v="797"/>
    <n v="50000"/>
    <x v="0"/>
    <x v="3"/>
    <x v="0"/>
    <x v="0"/>
  </r>
  <r>
    <s v="TXN-0810"/>
    <x v="146"/>
    <s v="Citra Santoso"/>
    <x v="146"/>
    <x v="3"/>
    <x v="1"/>
    <x v="4"/>
    <x v="4"/>
    <n v="2"/>
    <x v="798"/>
    <n v="35000"/>
    <x v="0"/>
    <x v="0"/>
    <x v="0"/>
    <x v="0"/>
  </r>
  <r>
    <s v="TXN-0811"/>
    <x v="105"/>
    <s v="Raka Putri"/>
    <x v="25"/>
    <x v="3"/>
    <x v="0"/>
    <x v="2"/>
    <x v="0"/>
    <n v="4"/>
    <x v="799"/>
    <n v="50000"/>
    <x v="0"/>
    <x v="2"/>
    <x v="1"/>
    <x v="0"/>
  </r>
  <r>
    <s v="TXN-0812"/>
    <x v="34"/>
    <s v="Maya Santoso"/>
    <x v="156"/>
    <x v="0"/>
    <x v="0"/>
    <x v="2"/>
    <x v="0"/>
    <n v="7"/>
    <x v="800"/>
    <n v="35000"/>
    <x v="0"/>
    <x v="0"/>
    <x v="1"/>
    <x v="0"/>
  </r>
  <r>
    <s v="TXN-0813"/>
    <x v="117"/>
    <s v="Nadia Saputra"/>
    <x v="153"/>
    <x v="4"/>
    <x v="1"/>
    <x v="2"/>
    <x v="0"/>
    <n v="4"/>
    <x v="801"/>
    <n v="25000"/>
    <x v="0"/>
    <x v="0"/>
    <x v="0"/>
    <x v="0"/>
  </r>
  <r>
    <s v="TXN-0814"/>
    <x v="75"/>
    <s v="Citra Dewi"/>
    <x v="103"/>
    <x v="1"/>
    <x v="2"/>
    <x v="4"/>
    <x v="4"/>
    <n v="3"/>
    <x v="802"/>
    <n v="0"/>
    <x v="0"/>
    <x v="0"/>
    <x v="0"/>
    <x v="1"/>
  </r>
  <r>
    <s v="TXN-0815"/>
    <x v="165"/>
    <s v="Rizky Pratama"/>
    <x v="27"/>
    <x v="1"/>
    <x v="3"/>
    <x v="0"/>
    <x v="3"/>
    <n v="1"/>
    <x v="803"/>
    <n v="35000"/>
    <x v="3"/>
    <x v="3"/>
    <x v="1"/>
    <x v="0"/>
  </r>
  <r>
    <s v="TXN-0816"/>
    <x v="52"/>
    <s v="Fajar Wijaya"/>
    <x v="167"/>
    <x v="4"/>
    <x v="3"/>
    <x v="4"/>
    <x v="4"/>
    <n v="1"/>
    <x v="804"/>
    <n v="0"/>
    <x v="0"/>
    <x v="0"/>
    <x v="1"/>
    <x v="1"/>
  </r>
  <r>
    <s v="TXN-0817"/>
    <x v="98"/>
    <s v="Sari Putri"/>
    <x v="97"/>
    <x v="1"/>
    <x v="0"/>
    <x v="1"/>
    <x v="3"/>
    <n v="4"/>
    <x v="805"/>
    <n v="0"/>
    <x v="0"/>
    <x v="3"/>
    <x v="0"/>
    <x v="1"/>
  </r>
  <r>
    <s v="TXN-0818"/>
    <x v="137"/>
    <s v="Alya Santoso"/>
    <x v="10"/>
    <x v="2"/>
    <x v="3"/>
    <x v="3"/>
    <x v="4"/>
    <n v="1"/>
    <x v="806"/>
    <n v="50000"/>
    <x v="1"/>
    <x v="3"/>
    <x v="1"/>
    <x v="0"/>
  </r>
  <r>
    <s v="TXN-0819"/>
    <x v="166"/>
    <s v="Rizky Putri"/>
    <x v="131"/>
    <x v="0"/>
    <x v="1"/>
    <x v="4"/>
    <x v="4"/>
    <n v="6"/>
    <x v="807"/>
    <n v="35000"/>
    <x v="0"/>
    <x v="2"/>
    <x v="0"/>
    <x v="0"/>
  </r>
  <r>
    <s v="TXN-0820"/>
    <x v="11"/>
    <s v="Fajar Dewi"/>
    <x v="62"/>
    <x v="0"/>
    <x v="2"/>
    <x v="1"/>
    <x v="0"/>
    <n v="1"/>
    <x v="808"/>
    <n v="0"/>
    <x v="0"/>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0176A-DA67-4746-817E-FB40290FC2CD}"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10" firstHeaderRow="0"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Row" showAll="0">
      <items count="5">
        <item x="2"/>
        <item x="3"/>
        <item x="1"/>
        <item x="0"/>
        <item t="default"/>
      </items>
    </pivotField>
    <pivotField showAll="0"/>
    <pivotField showAll="0"/>
    <pivotField dataField="1" showAll="0"/>
    <pivotField dataField="1"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Count of Items Purchased" fld="8" subtotal="count" baseField="5" baseItem="1"/>
    <dataField name="Sum of Order Value" fld="9"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F49A8-5755-4BEC-8739-6B20D69C96E4}"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K21" firstHeaderRow="0" firstDataRow="1" firstDataCol="1"/>
  <pivotFields count="17">
    <pivotField showAll="0"/>
    <pivotField dataField="1"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axis="axisRow" showAll="0">
      <items count="6">
        <item x="0"/>
        <item x="3"/>
        <item x="2"/>
        <item x="1"/>
        <item x="4"/>
        <item t="default"/>
      </items>
    </pivotField>
    <pivotField showAll="0"/>
    <pivotField showAll="0"/>
    <pivotField showAll="0"/>
    <pivotField showAll="0"/>
    <pivotField dataField="1" showAll="0">
      <items count="810">
        <item x="289"/>
        <item x="400"/>
        <item x="605"/>
        <item x="229"/>
        <item x="276"/>
        <item x="472"/>
        <item x="674"/>
        <item x="757"/>
        <item x="277"/>
        <item x="217"/>
        <item x="557"/>
        <item x="233"/>
        <item x="598"/>
        <item x="155"/>
        <item x="297"/>
        <item x="322"/>
        <item x="106"/>
        <item x="604"/>
        <item x="399"/>
        <item x="207"/>
        <item x="36"/>
        <item x="782"/>
        <item x="673"/>
        <item x="31"/>
        <item x="544"/>
        <item x="412"/>
        <item x="736"/>
        <item x="159"/>
        <item x="358"/>
        <item x="581"/>
        <item x="740"/>
        <item x="6"/>
        <item x="140"/>
        <item x="487"/>
        <item x="595"/>
        <item x="467"/>
        <item x="431"/>
        <item x="528"/>
        <item x="77"/>
        <item x="405"/>
        <item x="719"/>
        <item x="363"/>
        <item x="737"/>
        <item x="507"/>
        <item x="693"/>
        <item x="751"/>
        <item x="117"/>
        <item x="520"/>
        <item x="610"/>
        <item x="429"/>
        <item x="537"/>
        <item x="668"/>
        <item x="53"/>
        <item x="694"/>
        <item x="338"/>
        <item x="215"/>
        <item x="628"/>
        <item x="9"/>
        <item x="173"/>
        <item x="28"/>
        <item x="767"/>
        <item x="663"/>
        <item x="118"/>
        <item x="741"/>
        <item x="61"/>
        <item x="102"/>
        <item x="463"/>
        <item x="386"/>
        <item x="778"/>
        <item x="660"/>
        <item x="377"/>
        <item x="646"/>
        <item x="642"/>
        <item x="779"/>
        <item x="90"/>
        <item x="722"/>
        <item x="235"/>
        <item x="643"/>
        <item x="145"/>
        <item x="317"/>
        <item x="1"/>
        <item x="439"/>
        <item x="497"/>
        <item x="700"/>
        <item x="420"/>
        <item x="165"/>
        <item x="772"/>
        <item x="11"/>
        <item x="671"/>
        <item x="570"/>
        <item x="197"/>
        <item x="367"/>
        <item x="147"/>
        <item x="704"/>
        <item x="666"/>
        <item x="619"/>
        <item x="168"/>
        <item x="50"/>
        <item x="41"/>
        <item x="7"/>
        <item x="96"/>
        <item x="571"/>
        <item x="202"/>
        <item x="584"/>
        <item x="701"/>
        <item x="635"/>
        <item x="360"/>
        <item x="320"/>
        <item x="154"/>
        <item x="425"/>
        <item x="446"/>
        <item x="227"/>
        <item x="728"/>
        <item x="8"/>
        <item x="238"/>
        <item x="78"/>
        <item x="380"/>
        <item x="488"/>
        <item x="385"/>
        <item x="126"/>
        <item x="184"/>
        <item x="326"/>
        <item x="122"/>
        <item x="743"/>
        <item x="23"/>
        <item x="589"/>
        <item x="790"/>
        <item x="271"/>
        <item x="656"/>
        <item x="341"/>
        <item x="359"/>
        <item x="753"/>
        <item x="648"/>
        <item x="256"/>
        <item x="423"/>
        <item x="606"/>
        <item x="413"/>
        <item x="521"/>
        <item x="328"/>
        <item x="177"/>
        <item x="167"/>
        <item x="278"/>
        <item x="47"/>
        <item x="252"/>
        <item x="308"/>
        <item x="349"/>
        <item x="430"/>
        <item x="201"/>
        <item x="319"/>
        <item x="419"/>
        <item x="760"/>
        <item x="531"/>
        <item x="325"/>
        <item x="731"/>
        <item x="582"/>
        <item x="696"/>
        <item x="460"/>
        <item x="627"/>
        <item x="228"/>
        <item x="119"/>
        <item x="38"/>
        <item x="745"/>
        <item x="275"/>
        <item x="347"/>
        <item x="368"/>
        <item x="285"/>
        <item x="519"/>
        <item x="799"/>
        <item x="240"/>
        <item x="533"/>
        <item x="109"/>
        <item x="502"/>
        <item x="294"/>
        <item x="468"/>
        <item x="292"/>
        <item x="558"/>
        <item x="749"/>
        <item x="411"/>
        <item x="435"/>
        <item x="247"/>
        <item x="549"/>
        <item x="720"/>
        <item x="213"/>
        <item x="224"/>
        <item x="148"/>
        <item x="283"/>
        <item x="245"/>
        <item x="18"/>
        <item x="434"/>
        <item x="447"/>
        <item x="712"/>
        <item x="56"/>
        <item x="191"/>
        <item x="483"/>
        <item x="98"/>
        <item x="443"/>
        <item x="138"/>
        <item x="153"/>
        <item x="461"/>
        <item x="688"/>
        <item x="305"/>
        <item x="251"/>
        <item x="188"/>
        <item x="698"/>
        <item x="376"/>
        <item x="415"/>
        <item x="580"/>
        <item x="130"/>
        <item x="524"/>
        <item x="791"/>
        <item x="390"/>
        <item x="136"/>
        <item x="175"/>
        <item x="621"/>
        <item x="269"/>
        <item x="716"/>
        <item x="239"/>
        <item x="464"/>
        <item x="263"/>
        <item x="744"/>
        <item x="108"/>
        <item x="609"/>
        <item x="802"/>
        <item x="398"/>
        <item x="800"/>
        <item x="226"/>
        <item x="65"/>
        <item x="13"/>
        <item x="286"/>
        <item x="707"/>
        <item x="690"/>
        <item x="499"/>
        <item x="248"/>
        <item x="670"/>
        <item x="410"/>
        <item x="205"/>
        <item x="94"/>
        <item x="577"/>
        <item x="653"/>
        <item x="409"/>
        <item x="724"/>
        <item x="565"/>
        <item x="795"/>
        <item x="711"/>
        <item x="249"/>
        <item x="127"/>
        <item x="75"/>
        <item x="17"/>
        <item x="492"/>
        <item x="602"/>
        <item x="19"/>
        <item x="97"/>
        <item x="804"/>
        <item x="345"/>
        <item x="220"/>
        <item x="81"/>
        <item x="58"/>
        <item x="2"/>
        <item x="546"/>
        <item x="378"/>
        <item x="204"/>
        <item x="298"/>
        <item x="211"/>
        <item x="259"/>
        <item x="16"/>
        <item x="552"/>
        <item x="396"/>
        <item x="555"/>
        <item x="792"/>
        <item x="508"/>
        <item x="445"/>
        <item x="505"/>
        <item x="496"/>
        <item x="92"/>
        <item x="629"/>
        <item x="144"/>
        <item x="569"/>
        <item x="231"/>
        <item x="649"/>
        <item x="270"/>
        <item x="440"/>
        <item x="303"/>
        <item x="513"/>
        <item x="661"/>
        <item x="230"/>
        <item x="383"/>
        <item x="261"/>
        <item x="777"/>
        <item x="141"/>
        <item x="634"/>
        <item x="156"/>
        <item x="620"/>
        <item x="471"/>
        <item x="762"/>
        <item x="162"/>
        <item x="567"/>
        <item x="511"/>
        <item x="587"/>
        <item x="592"/>
        <item x="594"/>
        <item x="293"/>
        <item x="214"/>
        <item x="485"/>
        <item x="183"/>
        <item x="437"/>
        <item x="120"/>
        <item x="662"/>
        <item x="258"/>
        <item x="543"/>
        <item x="115"/>
        <item x="157"/>
        <item x="299"/>
        <item x="495"/>
        <item x="105"/>
        <item x="452"/>
        <item x="64"/>
        <item x="209"/>
        <item x="503"/>
        <item x="42"/>
        <item x="381"/>
        <item x="441"/>
        <item x="71"/>
        <item x="246"/>
        <item x="176"/>
        <item x="316"/>
        <item x="808"/>
        <item x="783"/>
        <item x="357"/>
        <item x="615"/>
        <item x="37"/>
        <item x="469"/>
        <item x="243"/>
        <item x="318"/>
        <item x="274"/>
        <item x="607"/>
        <item x="45"/>
        <item x="617"/>
        <item x="650"/>
        <item x="678"/>
        <item x="632"/>
        <item x="732"/>
        <item x="529"/>
        <item x="455"/>
        <item x="576"/>
        <item x="763"/>
        <item x="186"/>
        <item x="449"/>
        <item x="473"/>
        <item x="86"/>
        <item x="129"/>
        <item x="525"/>
        <item x="146"/>
        <item x="714"/>
        <item x="433"/>
        <item x="692"/>
        <item x="379"/>
        <item x="384"/>
        <item x="352"/>
        <item x="67"/>
        <item x="637"/>
        <item x="93"/>
        <item x="775"/>
        <item x="796"/>
        <item x="734"/>
        <item x="647"/>
        <item x="219"/>
        <item x="600"/>
        <item x="574"/>
        <item x="279"/>
        <item x="702"/>
        <item x="625"/>
        <item x="39"/>
        <item x="103"/>
        <item x="362"/>
        <item x="623"/>
        <item x="68"/>
        <item x="128"/>
        <item x="355"/>
        <item x="79"/>
        <item x="428"/>
        <item x="402"/>
        <item x="667"/>
        <item x="84"/>
        <item x="458"/>
        <item x="89"/>
        <item x="764"/>
        <item x="388"/>
        <item x="781"/>
        <item x="66"/>
        <item x="306"/>
        <item x="389"/>
        <item x="793"/>
        <item x="664"/>
        <item x="717"/>
        <item x="150"/>
        <item x="200"/>
        <item x="340"/>
        <item x="160"/>
        <item x="444"/>
        <item x="542"/>
        <item x="500"/>
        <item x="509"/>
        <item x="210"/>
        <item x="48"/>
        <item x="466"/>
        <item x="49"/>
        <item x="365"/>
        <item x="729"/>
        <item x="310"/>
        <item x="267"/>
        <item x="250"/>
        <item x="718"/>
        <item x="482"/>
        <item x="414"/>
        <item x="373"/>
        <item x="465"/>
        <item x="530"/>
        <item x="422"/>
        <item x="442"/>
        <item x="672"/>
        <item x="198"/>
        <item x="44"/>
        <item x="562"/>
        <item x="135"/>
        <item x="295"/>
        <item x="426"/>
        <item x="436"/>
        <item x="601"/>
        <item x="756"/>
        <item x="180"/>
        <item x="563"/>
        <item x="774"/>
        <item x="332"/>
        <item x="69"/>
        <item x="572"/>
        <item x="750"/>
        <item x="221"/>
        <item x="523"/>
        <item x="599"/>
        <item x="608"/>
        <item x="540"/>
        <item x="254"/>
        <item x="417"/>
        <item x="564"/>
        <item x="541"/>
        <item x="26"/>
        <item x="645"/>
        <item x="748"/>
        <item x="614"/>
        <item x="514"/>
        <item x="73"/>
        <item x="206"/>
        <item x="478"/>
        <item x="705"/>
        <item x="586"/>
        <item x="369"/>
        <item x="124"/>
        <item x="579"/>
        <item x="112"/>
        <item x="264"/>
        <item x="343"/>
        <item x="477"/>
        <item x="527"/>
        <item x="421"/>
        <item x="658"/>
        <item x="491"/>
        <item x="237"/>
        <item x="710"/>
        <item x="721"/>
        <item x="418"/>
        <item x="794"/>
        <item x="22"/>
        <item x="539"/>
        <item x="203"/>
        <item x="585"/>
        <item x="807"/>
        <item x="590"/>
        <item x="408"/>
        <item x="685"/>
        <item x="603"/>
        <item x="76"/>
        <item x="242"/>
        <item x="163"/>
        <item x="121"/>
        <item x="311"/>
        <item x="185"/>
        <item x="321"/>
        <item x="654"/>
        <item x="536"/>
        <item x="330"/>
        <item x="114"/>
        <item x="60"/>
        <item x="560"/>
        <item x="190"/>
        <item x="697"/>
        <item x="770"/>
        <item x="100"/>
        <item x="561"/>
        <item x="152"/>
        <item x="15"/>
        <item x="630"/>
        <item x="703"/>
        <item x="676"/>
        <item x="742"/>
        <item x="504"/>
        <item x="773"/>
        <item x="137"/>
        <item x="336"/>
        <item x="752"/>
        <item x="57"/>
        <item x="40"/>
        <item x="34"/>
        <item x="550"/>
        <item x="314"/>
        <item x="342"/>
        <item x="327"/>
        <item x="723"/>
        <item x="761"/>
        <item x="597"/>
        <item x="788"/>
        <item x="187"/>
        <item x="480"/>
        <item x="624"/>
        <item x="616"/>
        <item x="74"/>
        <item x="680"/>
        <item x="679"/>
        <item x="640"/>
        <item x="655"/>
        <item x="789"/>
        <item x="12"/>
        <item x="312"/>
        <item x="24"/>
        <item x="87"/>
        <item x="669"/>
        <item x="805"/>
        <item x="178"/>
        <item x="651"/>
        <item x="182"/>
        <item x="223"/>
        <item x="72"/>
        <item x="451"/>
        <item x="583"/>
        <item x="174"/>
        <item x="266"/>
        <item x="80"/>
        <item x="786"/>
        <item x="232"/>
        <item x="179"/>
        <item x="787"/>
        <item x="43"/>
        <item x="566"/>
        <item x="244"/>
        <item x="287"/>
        <item x="596"/>
        <item x="453"/>
        <item x="735"/>
        <item x="633"/>
        <item x="241"/>
        <item x="636"/>
        <item x="225"/>
        <item x="309"/>
        <item x="517"/>
        <item x="699"/>
        <item x="677"/>
        <item x="733"/>
        <item x="591"/>
        <item x="192"/>
        <item x="484"/>
        <item x="708"/>
        <item x="353"/>
        <item x="55"/>
        <item x="110"/>
        <item x="474"/>
        <item x="730"/>
        <item x="104"/>
        <item x="304"/>
        <item x="281"/>
        <item x="107"/>
        <item x="797"/>
        <item x="151"/>
        <item x="302"/>
        <item x="665"/>
        <item x="85"/>
        <item x="568"/>
        <item x="111"/>
        <item x="166"/>
        <item x="63"/>
        <item x="132"/>
        <item x="5"/>
        <item x="265"/>
        <item x="573"/>
        <item x="747"/>
        <item x="300"/>
        <item x="457"/>
        <item x="139"/>
        <item x="687"/>
        <item x="754"/>
        <item x="131"/>
        <item x="351"/>
        <item x="123"/>
        <item x="27"/>
        <item x="143"/>
        <item x="727"/>
        <item x="374"/>
        <item x="25"/>
        <item x="450"/>
        <item x="510"/>
        <item x="578"/>
        <item x="133"/>
        <item x="691"/>
        <item x="32"/>
        <item x="14"/>
        <item x="350"/>
        <item x="618"/>
        <item x="371"/>
        <item x="262"/>
        <item x="99"/>
        <item x="323"/>
        <item x="366"/>
        <item x="272"/>
        <item x="534"/>
        <item x="324"/>
        <item x="475"/>
        <item x="273"/>
        <item x="498"/>
        <item x="288"/>
        <item x="3"/>
        <item x="432"/>
        <item x="339"/>
        <item x="395"/>
        <item x="83"/>
        <item x="401"/>
        <item x="199"/>
        <item x="739"/>
        <item x="769"/>
        <item x="337"/>
        <item x="284"/>
        <item x="82"/>
        <item x="784"/>
        <item x="113"/>
        <item x="101"/>
        <item x="348"/>
        <item x="622"/>
        <item x="164"/>
        <item x="801"/>
        <item x="280"/>
        <item x="559"/>
        <item x="438"/>
        <item x="448"/>
        <item x="638"/>
        <item x="404"/>
        <item x="333"/>
        <item x="785"/>
        <item x="556"/>
        <item x="142"/>
        <item x="169"/>
        <item x="255"/>
        <item x="686"/>
        <item x="313"/>
        <item x="657"/>
        <item x="344"/>
        <item x="681"/>
        <item x="372"/>
        <item x="95"/>
        <item x="611"/>
        <item x="462"/>
        <item x="382"/>
        <item x="375"/>
        <item x="535"/>
        <item x="0"/>
        <item x="134"/>
        <item x="776"/>
        <item x="407"/>
        <item x="329"/>
        <item x="706"/>
        <item x="512"/>
        <item x="172"/>
        <item x="575"/>
        <item x="4"/>
        <item x="181"/>
        <item x="526"/>
        <item x="554"/>
        <item x="29"/>
        <item x="234"/>
        <item x="424"/>
        <item x="391"/>
        <item x="765"/>
        <item x="196"/>
        <item x="501"/>
        <item x="545"/>
        <item x="641"/>
        <item x="713"/>
        <item x="675"/>
        <item x="766"/>
        <item x="10"/>
        <item x="21"/>
        <item x="768"/>
        <item x="307"/>
        <item x="212"/>
        <item x="709"/>
        <item x="684"/>
        <item x="493"/>
        <item x="54"/>
        <item x="476"/>
        <item x="746"/>
        <item x="516"/>
        <item x="260"/>
        <item x="644"/>
        <item x="715"/>
        <item x="290"/>
        <item x="46"/>
        <item x="689"/>
        <item x="588"/>
        <item x="30"/>
        <item x="758"/>
        <item x="538"/>
        <item x="387"/>
        <item x="116"/>
        <item x="551"/>
        <item x="626"/>
        <item x="315"/>
        <item x="331"/>
        <item x="427"/>
        <item x="726"/>
        <item x="346"/>
        <item x="506"/>
        <item x="553"/>
        <item x="35"/>
        <item x="518"/>
        <item x="522"/>
        <item x="532"/>
        <item x="171"/>
        <item x="20"/>
        <item x="296"/>
        <item x="334"/>
        <item x="208"/>
        <item x="189"/>
        <item x="459"/>
        <item x="253"/>
        <item x="806"/>
        <item x="354"/>
        <item x="682"/>
        <item x="639"/>
        <item x="394"/>
        <item x="51"/>
        <item x="397"/>
        <item x="470"/>
        <item x="489"/>
        <item x="798"/>
        <item x="194"/>
        <item x="454"/>
        <item x="416"/>
        <item x="70"/>
        <item x="392"/>
        <item x="291"/>
        <item x="547"/>
        <item x="88"/>
        <item x="236"/>
        <item x="62"/>
        <item x="268"/>
        <item x="161"/>
        <item x="486"/>
        <item x="593"/>
        <item x="195"/>
        <item x="301"/>
        <item x="257"/>
        <item x="149"/>
        <item x="456"/>
        <item x="216"/>
        <item x="479"/>
        <item x="170"/>
        <item x="659"/>
        <item x="406"/>
        <item x="613"/>
        <item x="356"/>
        <item x="33"/>
        <item x="393"/>
        <item x="52"/>
        <item x="631"/>
        <item x="218"/>
        <item x="612"/>
        <item x="282"/>
        <item x="364"/>
        <item x="803"/>
        <item x="695"/>
        <item x="193"/>
        <item x="481"/>
        <item x="125"/>
        <item x="403"/>
        <item x="725"/>
        <item x="771"/>
        <item x="335"/>
        <item x="91"/>
        <item x="370"/>
        <item x="222"/>
        <item x="759"/>
        <item x="738"/>
        <item x="683"/>
        <item x="652"/>
        <item x="494"/>
        <item x="548"/>
        <item x="515"/>
        <item x="755"/>
        <item x="158"/>
        <item x="490"/>
        <item x="780"/>
        <item x="361"/>
        <item x="59"/>
        <item t="default"/>
      </items>
    </pivotField>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Count of Customer ID" fld="1" subtotal="count" baseField="0" baseItem="0"/>
    <dataField name="Sum of Order Value" fld="9" baseField="0" baseItem="0" numFmtId="166"/>
  </dataFields>
  <formats count="1">
    <format dxfId="1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49456-0C15-4908-8BDE-E6E669FF1D14}"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N11" firstHeaderRow="1" firstDataRow="2"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showAll="0"/>
    <pivotField showAll="0"/>
    <pivotField showAll="0"/>
    <pivotField showAll="0"/>
    <pivotField dataField="1" showAll="0"/>
    <pivotField numFmtId="166" showAll="0"/>
    <pivotField axis="axisRow" showAll="0">
      <items count="5">
        <item x="3"/>
        <item x="1"/>
        <item x="0"/>
        <item x="2"/>
        <item t="default"/>
      </items>
    </pivotField>
    <pivotField axis="axisCol" showAll="0">
      <items count="6">
        <item x="1"/>
        <item x="3"/>
        <item x="0"/>
        <item x="2"/>
        <item h="1" x="4"/>
        <item t="default"/>
      </items>
    </pivotField>
    <pivotField showAll="0"/>
    <pivotField showAll="0">
      <items count="13">
        <item x="6"/>
        <item x="7"/>
        <item x="9"/>
        <item x="2"/>
        <item x="8"/>
        <item x="4"/>
        <item x="3"/>
        <item x="11"/>
        <item x="5"/>
        <item x="1"/>
        <item x="10"/>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Fields count="1">
    <field x="12"/>
  </colFields>
  <colItems count="5">
    <i>
      <x/>
    </i>
    <i>
      <x v="1"/>
    </i>
    <i>
      <x v="2"/>
    </i>
    <i>
      <x v="3"/>
    </i>
    <i t="grand">
      <x/>
    </i>
  </colItems>
  <dataFields count="1">
    <dataField name="Count of Order Value" fld="9"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B36744-53C2-4CEA-89AC-995539063630}"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C33" firstHeaderRow="1" firstDataRow="1" firstDataCol="1" rowPageCount="1" colPageCount="1"/>
  <pivotFields count="17">
    <pivotField showAll="0"/>
    <pivotField dataField="1" showAll="0">
      <items count="233">
        <item x="149"/>
        <item x="19"/>
        <item x="162"/>
        <item x="45"/>
        <item x="117"/>
        <item x="172"/>
        <item x="228"/>
        <item x="74"/>
        <item x="95"/>
        <item x="88"/>
        <item x="4"/>
        <item x="225"/>
        <item x="75"/>
        <item x="126"/>
        <item x="115"/>
        <item x="196"/>
        <item x="57"/>
        <item x="123"/>
        <item x="122"/>
        <item x="178"/>
        <item x="101"/>
        <item x="77"/>
        <item x="169"/>
        <item x="211"/>
        <item x="48"/>
        <item x="125"/>
        <item x="205"/>
        <item x="135"/>
        <item x="35"/>
        <item x="29"/>
        <item x="109"/>
        <item x="1"/>
        <item x="200"/>
        <item x="63"/>
        <item x="100"/>
        <item x="25"/>
        <item x="23"/>
        <item x="231"/>
        <item x="166"/>
        <item x="187"/>
        <item x="152"/>
        <item x="16"/>
        <item x="133"/>
        <item x="96"/>
        <item x="129"/>
        <item x="72"/>
        <item x="39"/>
        <item x="79"/>
        <item x="62"/>
        <item x="189"/>
        <item x="58"/>
        <item x="204"/>
        <item x="94"/>
        <item x="193"/>
        <item x="34"/>
        <item x="139"/>
        <item x="174"/>
        <item x="173"/>
        <item x="134"/>
        <item x="161"/>
        <item x="128"/>
        <item x="142"/>
        <item x="114"/>
        <item x="216"/>
        <item x="130"/>
        <item x="209"/>
        <item x="28"/>
        <item x="87"/>
        <item x="31"/>
        <item x="11"/>
        <item x="3"/>
        <item x="78"/>
        <item x="56"/>
        <item x="89"/>
        <item x="90"/>
        <item x="69"/>
        <item x="76"/>
        <item x="226"/>
        <item x="52"/>
        <item x="64"/>
        <item x="17"/>
        <item x="183"/>
        <item x="160"/>
        <item x="83"/>
        <item x="224"/>
        <item x="202"/>
        <item x="92"/>
        <item x="215"/>
        <item x="199"/>
        <item x="165"/>
        <item x="21"/>
        <item x="159"/>
        <item x="60"/>
        <item x="137"/>
        <item x="30"/>
        <item x="148"/>
        <item x="73"/>
        <item x="118"/>
        <item x="190"/>
        <item x="93"/>
        <item x="150"/>
        <item x="185"/>
        <item x="144"/>
        <item x="14"/>
        <item x="81"/>
        <item x="102"/>
        <item x="37"/>
        <item x="143"/>
        <item x="121"/>
        <item x="113"/>
        <item x="167"/>
        <item x="51"/>
        <item x="18"/>
        <item x="12"/>
        <item x="70"/>
        <item x="220"/>
        <item x="138"/>
        <item x="9"/>
        <item x="38"/>
        <item x="13"/>
        <item x="203"/>
        <item x="127"/>
        <item x="47"/>
        <item x="67"/>
        <item x="43"/>
        <item x="55"/>
        <item x="155"/>
        <item x="40"/>
        <item x="131"/>
        <item x="207"/>
        <item x="65"/>
        <item x="176"/>
        <item x="157"/>
        <item x="33"/>
        <item x="22"/>
        <item x="10"/>
        <item x="218"/>
        <item x="27"/>
        <item x="5"/>
        <item x="223"/>
        <item x="198"/>
        <item x="111"/>
        <item x="170"/>
        <item x="59"/>
        <item x="54"/>
        <item x="53"/>
        <item x="168"/>
        <item x="32"/>
        <item x="2"/>
        <item x="151"/>
        <item x="214"/>
        <item x="184"/>
        <item x="217"/>
        <item x="213"/>
        <item x="98"/>
        <item x="210"/>
        <item x="26"/>
        <item x="171"/>
        <item x="99"/>
        <item x="212"/>
        <item x="158"/>
        <item x="120"/>
        <item x="91"/>
        <item x="106"/>
        <item x="182"/>
        <item x="164"/>
        <item x="107"/>
        <item x="119"/>
        <item x="44"/>
        <item x="20"/>
        <item x="46"/>
        <item x="145"/>
        <item x="103"/>
        <item x="6"/>
        <item x="179"/>
        <item x="140"/>
        <item x="68"/>
        <item x="132"/>
        <item x="41"/>
        <item x="24"/>
        <item x="197"/>
        <item x="86"/>
        <item x="181"/>
        <item x="36"/>
        <item x="230"/>
        <item x="146"/>
        <item x="206"/>
        <item x="49"/>
        <item x="219"/>
        <item x="192"/>
        <item x="154"/>
        <item x="208"/>
        <item x="194"/>
        <item x="97"/>
        <item x="8"/>
        <item x="108"/>
        <item x="124"/>
        <item x="84"/>
        <item x="180"/>
        <item x="153"/>
        <item x="50"/>
        <item x="156"/>
        <item x="136"/>
        <item x="229"/>
        <item x="191"/>
        <item x="112"/>
        <item x="42"/>
        <item x="82"/>
        <item x="105"/>
        <item x="61"/>
        <item x="141"/>
        <item x="85"/>
        <item x="221"/>
        <item x="7"/>
        <item x="110"/>
        <item x="80"/>
        <item x="71"/>
        <item x="195"/>
        <item x="104"/>
        <item x="116"/>
        <item x="222"/>
        <item x="15"/>
        <item x="188"/>
        <item x="186"/>
        <item x="227"/>
        <item x="163"/>
        <item x="175"/>
        <item x="177"/>
        <item x="201"/>
        <item x="0"/>
        <item x="147"/>
        <item x="66"/>
        <item t="default"/>
      </items>
    </pivotField>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Page" multipleItemSelectionAllowed="1" showAll="0">
      <items count="5">
        <item h="1" x="2"/>
        <item h="1" x="3"/>
        <item x="1"/>
        <item h="1" x="0"/>
        <item t="default"/>
      </items>
    </pivotField>
    <pivotField showAll="0"/>
    <pivotField axis="axisRow" showAll="0">
      <items count="6">
        <item x="0"/>
        <item x="2"/>
        <item x="3"/>
        <item x="4"/>
        <item x="1"/>
        <item t="default"/>
      </items>
    </pivotField>
    <pivotField showAll="0"/>
    <pivotField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pageFields count="1">
    <pageField fld="5" hier="-1"/>
  </pageFields>
  <dataFields count="1">
    <dataField name="Count of Customer ID" fld="1"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08A992-CD90-4FFA-82CC-40C51C62A443}"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1" firstHeaderRow="0"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showAll="0"/>
    <pivotField axis="axisRow" showAll="0">
      <items count="7">
        <item x="1"/>
        <item x="4"/>
        <item x="2"/>
        <item x="3"/>
        <item x="5"/>
        <item x="0"/>
        <item t="default"/>
      </items>
    </pivotField>
    <pivotField showAll="0"/>
    <pivotField showAll="0"/>
    <pivotField dataField="1"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Average of Order Value2" fld="9" subtotal="average" baseField="6" baseItem="0"/>
    <dataField name="Sum of Order Value" fld="9"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8BEB2F-438B-40BF-8EA6-EDE517BA1EA9}"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14:I20" firstHeaderRow="1" firstDataRow="2"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Row" showAll="0">
      <items count="5">
        <item x="2"/>
        <item x="3"/>
        <item x="1"/>
        <item x="0"/>
        <item t="default"/>
      </items>
    </pivotField>
    <pivotField axis="axisCol" showAll="0">
      <items count="7">
        <item x="1"/>
        <item x="4"/>
        <item x="2"/>
        <item x="3"/>
        <item x="5"/>
        <item x="0"/>
        <item t="default"/>
      </items>
    </pivotField>
    <pivotField showAll="0"/>
    <pivotField showAll="0"/>
    <pivotField dataField="1" showAll="0"/>
    <pivotField numFmtId="166"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Fields count="1">
    <field x="6"/>
  </colFields>
  <colItems count="7">
    <i>
      <x/>
    </i>
    <i>
      <x v="1"/>
    </i>
    <i>
      <x v="2"/>
    </i>
    <i>
      <x v="3"/>
    </i>
    <i>
      <x v="4"/>
    </i>
    <i>
      <x v="5"/>
    </i>
    <i t="grand">
      <x/>
    </i>
  </colItems>
  <dataFields count="1">
    <dataField name="Count of Order Value" fld="9" subtotal="count" baseField="5" baseItem="0"/>
  </dataFields>
  <formats count="1">
    <format dxfId="2">
      <pivotArea outline="0" collapsedLevelsAreSubtotals="1" fieldPosition="0"/>
    </format>
  </formats>
  <chartFormats count="30">
    <chartFormat chart="20" format="36" series="1">
      <pivotArea type="data" outline="0" fieldPosition="0">
        <references count="2">
          <reference field="4294967294" count="1" selected="0">
            <x v="0"/>
          </reference>
          <reference field="6" count="1" selected="0">
            <x v="0"/>
          </reference>
        </references>
      </pivotArea>
    </chartFormat>
    <chartFormat chart="20" format="37">
      <pivotArea type="data" outline="0" fieldPosition="0">
        <references count="3">
          <reference field="4294967294" count="1" selected="0">
            <x v="0"/>
          </reference>
          <reference field="5" count="1" selected="0">
            <x v="0"/>
          </reference>
          <reference field="6" count="1" selected="0">
            <x v="0"/>
          </reference>
        </references>
      </pivotArea>
    </chartFormat>
    <chartFormat chart="20" format="38">
      <pivotArea type="data" outline="0" fieldPosition="0">
        <references count="3">
          <reference field="4294967294" count="1" selected="0">
            <x v="0"/>
          </reference>
          <reference field="5" count="1" selected="0">
            <x v="1"/>
          </reference>
          <reference field="6" count="1" selected="0">
            <x v="0"/>
          </reference>
        </references>
      </pivotArea>
    </chartFormat>
    <chartFormat chart="20" format="39">
      <pivotArea type="data" outline="0" fieldPosition="0">
        <references count="3">
          <reference field="4294967294" count="1" selected="0">
            <x v="0"/>
          </reference>
          <reference field="5" count="1" selected="0">
            <x v="2"/>
          </reference>
          <reference field="6" count="1" selected="0">
            <x v="0"/>
          </reference>
        </references>
      </pivotArea>
    </chartFormat>
    <chartFormat chart="20" format="40">
      <pivotArea type="data" outline="0" fieldPosition="0">
        <references count="3">
          <reference field="4294967294" count="1" selected="0">
            <x v="0"/>
          </reference>
          <reference field="5" count="1" selected="0">
            <x v="3"/>
          </reference>
          <reference field="6" count="1" selected="0">
            <x v="0"/>
          </reference>
        </references>
      </pivotArea>
    </chartFormat>
    <chartFormat chart="20" format="41" series="1">
      <pivotArea type="data" outline="0" fieldPosition="0">
        <references count="2">
          <reference field="4294967294" count="1" selected="0">
            <x v="0"/>
          </reference>
          <reference field="6" count="1" selected="0">
            <x v="1"/>
          </reference>
        </references>
      </pivotArea>
    </chartFormat>
    <chartFormat chart="20" format="42">
      <pivotArea type="data" outline="0" fieldPosition="0">
        <references count="3">
          <reference field="4294967294" count="1" selected="0">
            <x v="0"/>
          </reference>
          <reference field="5" count="1" selected="0">
            <x v="0"/>
          </reference>
          <reference field="6" count="1" selected="0">
            <x v="1"/>
          </reference>
        </references>
      </pivotArea>
    </chartFormat>
    <chartFormat chart="20" format="43">
      <pivotArea type="data" outline="0" fieldPosition="0">
        <references count="3">
          <reference field="4294967294" count="1" selected="0">
            <x v="0"/>
          </reference>
          <reference field="5" count="1" selected="0">
            <x v="1"/>
          </reference>
          <reference field="6" count="1" selected="0">
            <x v="1"/>
          </reference>
        </references>
      </pivotArea>
    </chartFormat>
    <chartFormat chart="20" format="44">
      <pivotArea type="data" outline="0" fieldPosition="0">
        <references count="3">
          <reference field="4294967294" count="1" selected="0">
            <x v="0"/>
          </reference>
          <reference field="5" count="1" selected="0">
            <x v="2"/>
          </reference>
          <reference field="6" count="1" selected="0">
            <x v="1"/>
          </reference>
        </references>
      </pivotArea>
    </chartFormat>
    <chartFormat chart="20" format="45">
      <pivotArea type="data" outline="0" fieldPosition="0">
        <references count="3">
          <reference field="4294967294" count="1" selected="0">
            <x v="0"/>
          </reference>
          <reference field="5" count="1" selected="0">
            <x v="3"/>
          </reference>
          <reference field="6" count="1" selected="0">
            <x v="1"/>
          </reference>
        </references>
      </pivotArea>
    </chartFormat>
    <chartFormat chart="20" format="46" series="1">
      <pivotArea type="data" outline="0" fieldPosition="0">
        <references count="2">
          <reference field="4294967294" count="1" selected="0">
            <x v="0"/>
          </reference>
          <reference field="6" count="1" selected="0">
            <x v="2"/>
          </reference>
        </references>
      </pivotArea>
    </chartFormat>
    <chartFormat chart="20" format="47">
      <pivotArea type="data" outline="0" fieldPosition="0">
        <references count="3">
          <reference field="4294967294" count="1" selected="0">
            <x v="0"/>
          </reference>
          <reference field="5" count="1" selected="0">
            <x v="0"/>
          </reference>
          <reference field="6" count="1" selected="0">
            <x v="2"/>
          </reference>
        </references>
      </pivotArea>
    </chartFormat>
    <chartFormat chart="20" format="48">
      <pivotArea type="data" outline="0" fieldPosition="0">
        <references count="3">
          <reference field="4294967294" count="1" selected="0">
            <x v="0"/>
          </reference>
          <reference field="5" count="1" selected="0">
            <x v="1"/>
          </reference>
          <reference field="6" count="1" selected="0">
            <x v="2"/>
          </reference>
        </references>
      </pivotArea>
    </chartFormat>
    <chartFormat chart="20" format="49">
      <pivotArea type="data" outline="0" fieldPosition="0">
        <references count="3">
          <reference field="4294967294" count="1" selected="0">
            <x v="0"/>
          </reference>
          <reference field="5" count="1" selected="0">
            <x v="2"/>
          </reference>
          <reference field="6" count="1" selected="0">
            <x v="2"/>
          </reference>
        </references>
      </pivotArea>
    </chartFormat>
    <chartFormat chart="20" format="50">
      <pivotArea type="data" outline="0" fieldPosition="0">
        <references count="3">
          <reference field="4294967294" count="1" selected="0">
            <x v="0"/>
          </reference>
          <reference field="5" count="1" selected="0">
            <x v="3"/>
          </reference>
          <reference field="6" count="1" selected="0">
            <x v="2"/>
          </reference>
        </references>
      </pivotArea>
    </chartFormat>
    <chartFormat chart="20" format="51" series="1">
      <pivotArea type="data" outline="0" fieldPosition="0">
        <references count="2">
          <reference field="4294967294" count="1" selected="0">
            <x v="0"/>
          </reference>
          <reference field="6" count="1" selected="0">
            <x v="3"/>
          </reference>
        </references>
      </pivotArea>
    </chartFormat>
    <chartFormat chart="20" format="52">
      <pivotArea type="data" outline="0" fieldPosition="0">
        <references count="3">
          <reference field="4294967294" count="1" selected="0">
            <x v="0"/>
          </reference>
          <reference field="5" count="1" selected="0">
            <x v="0"/>
          </reference>
          <reference field="6" count="1" selected="0">
            <x v="3"/>
          </reference>
        </references>
      </pivotArea>
    </chartFormat>
    <chartFormat chart="20" format="53">
      <pivotArea type="data" outline="0" fieldPosition="0">
        <references count="3">
          <reference field="4294967294" count="1" selected="0">
            <x v="0"/>
          </reference>
          <reference field="5" count="1" selected="0">
            <x v="1"/>
          </reference>
          <reference field="6" count="1" selected="0">
            <x v="3"/>
          </reference>
        </references>
      </pivotArea>
    </chartFormat>
    <chartFormat chart="20" format="54">
      <pivotArea type="data" outline="0" fieldPosition="0">
        <references count="3">
          <reference field="4294967294" count="1" selected="0">
            <x v="0"/>
          </reference>
          <reference field="5" count="1" selected="0">
            <x v="2"/>
          </reference>
          <reference field="6" count="1" selected="0">
            <x v="3"/>
          </reference>
        </references>
      </pivotArea>
    </chartFormat>
    <chartFormat chart="20" format="55">
      <pivotArea type="data" outline="0" fieldPosition="0">
        <references count="3">
          <reference field="4294967294" count="1" selected="0">
            <x v="0"/>
          </reference>
          <reference field="5" count="1" selected="0">
            <x v="3"/>
          </reference>
          <reference field="6" count="1" selected="0">
            <x v="3"/>
          </reference>
        </references>
      </pivotArea>
    </chartFormat>
    <chartFormat chart="20" format="56" series="1">
      <pivotArea type="data" outline="0" fieldPosition="0">
        <references count="2">
          <reference field="4294967294" count="1" selected="0">
            <x v="0"/>
          </reference>
          <reference field="6" count="1" selected="0">
            <x v="4"/>
          </reference>
        </references>
      </pivotArea>
    </chartFormat>
    <chartFormat chart="20" format="57">
      <pivotArea type="data" outline="0" fieldPosition="0">
        <references count="3">
          <reference field="4294967294" count="1" selected="0">
            <x v="0"/>
          </reference>
          <reference field="5" count="1" selected="0">
            <x v="0"/>
          </reference>
          <reference field="6" count="1" selected="0">
            <x v="4"/>
          </reference>
        </references>
      </pivotArea>
    </chartFormat>
    <chartFormat chart="20" format="58">
      <pivotArea type="data" outline="0" fieldPosition="0">
        <references count="3">
          <reference field="4294967294" count="1" selected="0">
            <x v="0"/>
          </reference>
          <reference field="5" count="1" selected="0">
            <x v="1"/>
          </reference>
          <reference field="6" count="1" selected="0">
            <x v="4"/>
          </reference>
        </references>
      </pivotArea>
    </chartFormat>
    <chartFormat chart="20" format="59">
      <pivotArea type="data" outline="0" fieldPosition="0">
        <references count="3">
          <reference field="4294967294" count="1" selected="0">
            <x v="0"/>
          </reference>
          <reference field="5" count="1" selected="0">
            <x v="2"/>
          </reference>
          <reference field="6" count="1" selected="0">
            <x v="4"/>
          </reference>
        </references>
      </pivotArea>
    </chartFormat>
    <chartFormat chart="20" format="60">
      <pivotArea type="data" outline="0" fieldPosition="0">
        <references count="3">
          <reference field="4294967294" count="1" selected="0">
            <x v="0"/>
          </reference>
          <reference field="5" count="1" selected="0">
            <x v="3"/>
          </reference>
          <reference field="6" count="1" selected="0">
            <x v="4"/>
          </reference>
        </references>
      </pivotArea>
    </chartFormat>
    <chartFormat chart="20" format="61" series="1">
      <pivotArea type="data" outline="0" fieldPosition="0">
        <references count="2">
          <reference field="4294967294" count="1" selected="0">
            <x v="0"/>
          </reference>
          <reference field="6" count="1" selected="0">
            <x v="5"/>
          </reference>
        </references>
      </pivotArea>
    </chartFormat>
    <chartFormat chart="20" format="62">
      <pivotArea type="data" outline="0" fieldPosition="0">
        <references count="3">
          <reference field="4294967294" count="1" selected="0">
            <x v="0"/>
          </reference>
          <reference field="5" count="1" selected="0">
            <x v="0"/>
          </reference>
          <reference field="6" count="1" selected="0">
            <x v="5"/>
          </reference>
        </references>
      </pivotArea>
    </chartFormat>
    <chartFormat chart="20" format="63">
      <pivotArea type="data" outline="0" fieldPosition="0">
        <references count="3">
          <reference field="4294967294" count="1" selected="0">
            <x v="0"/>
          </reference>
          <reference field="5" count="1" selected="0">
            <x v="1"/>
          </reference>
          <reference field="6" count="1" selected="0">
            <x v="5"/>
          </reference>
        </references>
      </pivotArea>
    </chartFormat>
    <chartFormat chart="20" format="64">
      <pivotArea type="data" outline="0" fieldPosition="0">
        <references count="3">
          <reference field="4294967294" count="1" selected="0">
            <x v="0"/>
          </reference>
          <reference field="5" count="1" selected="0">
            <x v="2"/>
          </reference>
          <reference field="6" count="1" selected="0">
            <x v="5"/>
          </reference>
        </references>
      </pivotArea>
    </chartFormat>
    <chartFormat chart="20" format="65">
      <pivotArea type="data" outline="0" fieldPosition="0">
        <references count="3">
          <reference field="4294967294" count="1" selected="0">
            <x v="0"/>
          </reference>
          <reference field="5" count="1" selected="0">
            <x v="3"/>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BCBF74-2FEE-4E54-AF36-F6C139A38DDA}"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Region" colHeaderCaption="Product Category">
  <location ref="F4:L11" firstHeaderRow="1" firstDataRow="2"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axis="axisCol" showAll="0">
      <items count="6">
        <item x="0"/>
        <item x="3"/>
        <item x="2"/>
        <item x="1"/>
        <item x="4"/>
        <item t="default"/>
      </items>
    </pivotField>
    <pivotField showAll="0"/>
    <pivotField showAll="0"/>
    <pivotField axis="axisRow" showAll="0">
      <items count="6">
        <item x="0"/>
        <item x="2"/>
        <item x="3"/>
        <item x="4"/>
        <item x="1"/>
        <item t="default"/>
      </items>
    </pivotField>
    <pivotField dataField="1" showAll="0"/>
    <pivotField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4"/>
  </colFields>
  <colItems count="6">
    <i>
      <x/>
    </i>
    <i>
      <x v="1"/>
    </i>
    <i>
      <x v="2"/>
    </i>
    <i>
      <x v="3"/>
    </i>
    <i>
      <x v="4"/>
    </i>
    <i t="grand">
      <x/>
    </i>
  </colItems>
  <dataFields count="1">
    <dataField name="Sum of Items Purchased" fld="8" baseField="0" baseItem="0"/>
  </dataFields>
  <chartFormats count="11">
    <chartFormat chart="39" format="10" series="1">
      <pivotArea type="data" outline="0" fieldPosition="0">
        <references count="2">
          <reference field="4294967294" count="1" selected="0">
            <x v="0"/>
          </reference>
          <reference field="7" count="1" selected="0">
            <x v="0"/>
          </reference>
        </references>
      </pivotArea>
    </chartFormat>
    <chartFormat chart="39" format="11" series="1">
      <pivotArea type="data" outline="0" fieldPosition="0">
        <references count="2">
          <reference field="4294967294" count="1" selected="0">
            <x v="0"/>
          </reference>
          <reference field="7" count="1" selected="0">
            <x v="1"/>
          </reference>
        </references>
      </pivotArea>
    </chartFormat>
    <chartFormat chart="39" format="12" series="1">
      <pivotArea type="data" outline="0" fieldPosition="0">
        <references count="2">
          <reference field="4294967294" count="1" selected="0">
            <x v="0"/>
          </reference>
          <reference field="7" count="1" selected="0">
            <x v="2"/>
          </reference>
        </references>
      </pivotArea>
    </chartFormat>
    <chartFormat chart="39" format="13" series="1">
      <pivotArea type="data" outline="0" fieldPosition="0">
        <references count="2">
          <reference field="4294967294" count="1" selected="0">
            <x v="0"/>
          </reference>
          <reference field="7" count="1" selected="0">
            <x v="3"/>
          </reference>
        </references>
      </pivotArea>
    </chartFormat>
    <chartFormat chart="39" format="14" series="1">
      <pivotArea type="data" outline="0" fieldPosition="0">
        <references count="2">
          <reference field="4294967294" count="1" selected="0">
            <x v="0"/>
          </reference>
          <reference field="7" count="1" selected="0">
            <x v="4"/>
          </reference>
        </references>
      </pivotArea>
    </chartFormat>
    <chartFormat chart="39" format="15" series="1">
      <pivotArea type="data" outline="0" fieldPosition="0">
        <references count="1">
          <reference field="4294967294" count="1" selected="0">
            <x v="0"/>
          </reference>
        </references>
      </pivotArea>
    </chartFormat>
    <chartFormat chart="39" format="16" series="1">
      <pivotArea type="data" outline="0" fieldPosition="0">
        <references count="2">
          <reference field="4294967294" count="1" selected="0">
            <x v="0"/>
          </reference>
          <reference field="4" count="1" selected="0">
            <x v="1"/>
          </reference>
        </references>
      </pivotArea>
    </chartFormat>
    <chartFormat chart="39" format="17" series="1">
      <pivotArea type="data" outline="0" fieldPosition="0">
        <references count="2">
          <reference field="4294967294" count="1" selected="0">
            <x v="0"/>
          </reference>
          <reference field="4" count="1" selected="0">
            <x v="2"/>
          </reference>
        </references>
      </pivotArea>
    </chartFormat>
    <chartFormat chart="39" format="18" series="1">
      <pivotArea type="data" outline="0" fieldPosition="0">
        <references count="2">
          <reference field="4294967294" count="1" selected="0">
            <x v="0"/>
          </reference>
          <reference field="4" count="1" selected="0">
            <x v="3"/>
          </reference>
        </references>
      </pivotArea>
    </chartFormat>
    <chartFormat chart="39" format="19" series="1">
      <pivotArea type="data" outline="0" fieldPosition="0">
        <references count="2">
          <reference field="4294967294" count="1" selected="0">
            <x v="0"/>
          </reference>
          <reference field="4" count="1" selected="0">
            <x v="4"/>
          </reference>
        </references>
      </pivotArea>
    </chartFormat>
    <chartFormat chart="39" format="20"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E623EE-A3D0-4841-A619-E8CB926BA0D6}"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4:C10" firstHeaderRow="1"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showAll="0"/>
    <pivotField showAll="0"/>
    <pivotField axis="axisRow" showAll="0">
      <items count="6">
        <item x="0"/>
        <item x="2"/>
        <item x="3"/>
        <item x="4"/>
        <item x="1"/>
        <item t="default"/>
      </items>
    </pivotField>
    <pivotField showAll="0"/>
    <pivotField dataField="1" showAll="0"/>
    <pivotField numFmtId="166"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Order Value" fld="9" baseField="0" baseItem="0" numFmtId="165"/>
  </dataFields>
  <formats count="1">
    <format dxfId="3">
      <pivotArea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3007D5-0059-4D77-8886-A290AE0850F2}"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23:C52" firstHeaderRow="1" firstDataRow="1" firstDataCol="1"/>
  <pivotFields count="17">
    <pivotField showAll="0"/>
    <pivotField showAll="0"/>
    <pivotField showAll="0"/>
    <pivotField showAll="0">
      <items count="183">
        <item x="157"/>
        <item x="144"/>
        <item x="143"/>
        <item x="3"/>
        <item x="150"/>
        <item x="48"/>
        <item x="99"/>
        <item x="53"/>
        <item x="1"/>
        <item x="133"/>
        <item x="4"/>
        <item x="45"/>
        <item x="10"/>
        <item x="44"/>
        <item x="134"/>
        <item x="129"/>
        <item x="155"/>
        <item x="123"/>
        <item x="42"/>
        <item x="106"/>
        <item x="132"/>
        <item x="104"/>
        <item x="18"/>
        <item x="161"/>
        <item x="141"/>
        <item x="127"/>
        <item x="175"/>
        <item x="11"/>
        <item x="9"/>
        <item x="32"/>
        <item x="136"/>
        <item x="113"/>
        <item x="31"/>
        <item x="61"/>
        <item x="125"/>
        <item x="93"/>
        <item x="159"/>
        <item x="71"/>
        <item x="30"/>
        <item x="2"/>
        <item x="83"/>
        <item x="29"/>
        <item x="85"/>
        <item x="120"/>
        <item x="107"/>
        <item x="77"/>
        <item x="78"/>
        <item x="174"/>
        <item x="137"/>
        <item x="162"/>
        <item x="177"/>
        <item x="126"/>
        <item x="22"/>
        <item x="92"/>
        <item x="149"/>
        <item x="122"/>
        <item x="164"/>
        <item x="153"/>
        <item x="128"/>
        <item x="116"/>
        <item x="100"/>
        <item x="103"/>
        <item x="111"/>
        <item x="146"/>
        <item x="154"/>
        <item x="172"/>
        <item x="50"/>
        <item x="135"/>
        <item x="23"/>
        <item x="26"/>
        <item x="145"/>
        <item x="73"/>
        <item x="65"/>
        <item x="80"/>
        <item x="25"/>
        <item x="88"/>
        <item x="14"/>
        <item x="74"/>
        <item x="139"/>
        <item x="69"/>
        <item x="66"/>
        <item x="138"/>
        <item x="119"/>
        <item x="67"/>
        <item x="47"/>
        <item x="89"/>
        <item x="12"/>
        <item x="142"/>
        <item x="37"/>
        <item x="72"/>
        <item x="28"/>
        <item x="84"/>
        <item x="58"/>
        <item x="90"/>
        <item x="131"/>
        <item x="114"/>
        <item x="152"/>
        <item x="43"/>
        <item x="62"/>
        <item x="68"/>
        <item x="86"/>
        <item x="87"/>
        <item x="101"/>
        <item x="46"/>
        <item x="51"/>
        <item x="110"/>
        <item x="56"/>
        <item x="20"/>
        <item x="180"/>
        <item x="156"/>
        <item x="148"/>
        <item x="21"/>
        <item x="19"/>
        <item x="181"/>
        <item x="118"/>
        <item x="5"/>
        <item x="52"/>
        <item x="76"/>
        <item x="169"/>
        <item x="117"/>
        <item x="170"/>
        <item x="79"/>
        <item x="81"/>
        <item x="24"/>
        <item x="108"/>
        <item x="40"/>
        <item x="49"/>
        <item x="167"/>
        <item x="41"/>
        <item x="27"/>
        <item x="163"/>
        <item x="97"/>
        <item x="64"/>
        <item x="151"/>
        <item x="57"/>
        <item x="121"/>
        <item x="16"/>
        <item x="17"/>
        <item x="94"/>
        <item x="165"/>
        <item x="102"/>
        <item x="75"/>
        <item x="35"/>
        <item x="91"/>
        <item x="15"/>
        <item x="13"/>
        <item x="115"/>
        <item x="147"/>
        <item x="39"/>
        <item x="112"/>
        <item x="54"/>
        <item x="95"/>
        <item x="0"/>
        <item x="166"/>
        <item x="8"/>
        <item x="96"/>
        <item x="6"/>
        <item x="130"/>
        <item x="171"/>
        <item x="59"/>
        <item x="173"/>
        <item x="160"/>
        <item x="168"/>
        <item x="124"/>
        <item x="140"/>
        <item x="176"/>
        <item x="55"/>
        <item x="34"/>
        <item x="38"/>
        <item x="109"/>
        <item x="105"/>
        <item x="7"/>
        <item x="33"/>
        <item x="60"/>
        <item x="82"/>
        <item x="63"/>
        <item x="98"/>
        <item x="70"/>
        <item x="178"/>
        <item x="158"/>
        <item x="179"/>
        <item x="36"/>
        <item t="default"/>
      </items>
    </pivotField>
    <pivotField showAll="0"/>
    <pivotField axis="axisRow" showAll="0">
      <items count="5">
        <item x="2"/>
        <item x="3"/>
        <item x="1"/>
        <item x="0"/>
        <item t="default"/>
      </items>
    </pivotField>
    <pivotField axis="axisRow" showAll="0">
      <items count="7">
        <item x="1"/>
        <item x="4"/>
        <item x="2"/>
        <item x="3"/>
        <item x="5"/>
        <item x="0"/>
        <item t="default"/>
      </items>
    </pivotField>
    <pivotField showAll="0"/>
    <pivotField showAll="0"/>
    <pivotField dataField="1" showAll="0"/>
    <pivotField numFmtId="166" showAll="0"/>
    <pivotField showAll="0"/>
    <pivotField showAll="0">
      <items count="6">
        <item x="1"/>
        <item x="3"/>
        <item x="0"/>
        <item x="2"/>
        <item h="1" x="4"/>
        <item t="default"/>
      </items>
    </pivotField>
    <pivotField showAll="0">
      <items count="3">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2">
    <field x="5"/>
    <field x="6"/>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Order Value" fld="9" baseField="0" baseItem="0" numFmtId="165"/>
  </dataFields>
  <formats count="1">
    <format dxfId="4">
      <pivotArea outline="0" collapsedLevelsAreSubtotals="1" fieldPosition="0">
        <references count="1">
          <reference field="4294967294" count="1" selected="0">
            <x v="0"/>
          </reference>
        </references>
      </pivotArea>
    </format>
  </formats>
  <chartFormats count="2">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C3674D-8999-45B7-827F-B835E0F3A351}" autoFormatId="16" applyNumberFormats="0" applyBorderFormats="0" applyFontFormats="0" applyPatternFormats="0" applyAlignmentFormats="0" applyWidthHeightFormats="0">
  <queryTableRefresh nextId="16">
    <queryTableFields count="15">
      <queryTableField id="1" name="Transaction ID" tableColumnId="1"/>
      <queryTableField id="2" name="Customer ID" tableColumnId="2"/>
      <queryTableField id="3" name="Customer Name" tableColumnId="3"/>
      <queryTableField id="4" name="Order Date" tableColumnId="4"/>
      <queryTableField id="5" name="Region" tableColumnId="5"/>
      <queryTableField id="6" name="Customer Segment" tableColumnId="6"/>
      <queryTableField id="7" name="Acquisition Channel" tableColumnId="7"/>
      <queryTableField id="8" name="Product Category" tableColumnId="8"/>
      <queryTableField id="9" name="Items Purchased" tableColumnId="9"/>
      <queryTableField id="10" name="Order Value" tableColumnId="10"/>
      <queryTableField id="11" name="Shipping Fee" tableColumnId="11"/>
      <queryTableField id="12" name="Delivery Status" tableColumnId="12"/>
      <queryTableField id="13" name="Satisfaction" tableColumnId="13"/>
      <queryTableField id="14" name="Used Promo" tableColumnId="14"/>
      <queryTableField id="15" name="Status Review" tableColumnId="1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OrdersRaw" displayName="CustomerOrdersRaw" ref="A5:N830">
  <autoFilter ref="A5:N830" xr:uid="{00000000-0009-0000-0100-000001000000}"/>
  <tableColumns count="14">
    <tableColumn id="1" xr3:uid="{00000000-0010-0000-0000-000001000000}" name="Transaction ID"/>
    <tableColumn id="2" xr3:uid="{00000000-0010-0000-0000-000002000000}" name="Customer ID"/>
    <tableColumn id="3" xr3:uid="{00000000-0010-0000-0000-000003000000}" name="Customer Name"/>
    <tableColumn id="4" xr3:uid="{00000000-0010-0000-0000-000004000000}" name="Order Date"/>
    <tableColumn id="5" xr3:uid="{00000000-0010-0000-0000-000005000000}" name="Region"/>
    <tableColumn id="6" xr3:uid="{00000000-0010-0000-0000-000006000000}" name="Customer Segment"/>
    <tableColumn id="7" xr3:uid="{00000000-0010-0000-0000-000007000000}" name="Acquisition Channel"/>
    <tableColumn id="8" xr3:uid="{00000000-0010-0000-0000-000008000000}" name="Product Category"/>
    <tableColumn id="9" xr3:uid="{00000000-0010-0000-0000-000009000000}" name="Items Purchased"/>
    <tableColumn id="10" xr3:uid="{00000000-0010-0000-0000-00000A000000}" name="Order Value"/>
    <tableColumn id="11" xr3:uid="{00000000-0010-0000-0000-00000B000000}" name="Shipping Fee"/>
    <tableColumn id="12" xr3:uid="{00000000-0010-0000-0000-00000C000000}" name="Delivery Status"/>
    <tableColumn id="13" xr3:uid="{00000000-0010-0000-0000-00000D000000}" name="Satisfaction"/>
    <tableColumn id="14" xr3:uid="{00000000-0010-0000-0000-00000E000000}" name="Used Prom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1AD2A7-BB6F-4B43-97C1-E3B3C4E01586}" name="DATA" displayName="DATA" ref="A1:O821" tableType="queryTable" totalsRowShown="0">
  <autoFilter ref="A1:O821" xr:uid="{411AD2A7-BB6F-4B43-97C1-E3B3C4E01586}">
    <filterColumn colId="13">
      <filters>
        <filter val="Yes"/>
      </filters>
    </filterColumn>
  </autoFilter>
  <tableColumns count="15">
    <tableColumn id="1" xr3:uid="{C2AD1DA4-4883-4076-9DFC-985210BB2222}" uniqueName="1" name="Transaction ID" queryTableFieldId="1" dataDxfId="17"/>
    <tableColumn id="2" xr3:uid="{1836D89B-4C36-4489-9F83-76E5A6EE621E}" uniqueName="2" name="Customer ID" queryTableFieldId="2" dataDxfId="16"/>
    <tableColumn id="3" xr3:uid="{CFA182A0-90CA-41CC-9C17-45F049382178}" uniqueName="3" name="Customer Name" queryTableFieldId="3" dataDxfId="15"/>
    <tableColumn id="4" xr3:uid="{C06F15CE-ADC4-4915-9F92-57AF994C28FE}" uniqueName="4" name="Order Date" queryTableFieldId="4" dataDxfId="14"/>
    <tableColumn id="5" xr3:uid="{713EB6F9-82AF-48DC-BC08-890BC5C0A814}" uniqueName="5" name="Region" queryTableFieldId="5" dataDxfId="13"/>
    <tableColumn id="6" xr3:uid="{C4888471-296B-45B3-B449-F07CB91A8018}" uniqueName="6" name="Customer Segment" queryTableFieldId="6" dataDxfId="12"/>
    <tableColumn id="7" xr3:uid="{99D62316-6B69-4A8E-94F4-60B505A26963}" uniqueName="7" name="Acquisition Channel" queryTableFieldId="7" dataDxfId="11"/>
    <tableColumn id="8" xr3:uid="{F43FD383-526F-4163-B6B4-C8A89D5FB948}" uniqueName="8" name="Product Category" queryTableFieldId="8" dataDxfId="10"/>
    <tableColumn id="9" xr3:uid="{7560FEF9-765B-4B15-9B2D-8A04F609823A}" uniqueName="9" name="Items Purchased" queryTableFieldId="9"/>
    <tableColumn id="10" xr3:uid="{494FE3DB-BF70-4B39-85CA-C1AAE1E00816}" uniqueName="10" name="Order Value" queryTableFieldId="10" dataDxfId="9" dataCellStyle="Comma"/>
    <tableColumn id="11" xr3:uid="{D98D529F-32A2-4B6C-8066-DF5B0FC2758A}" uniqueName="11" name="Shipping Fee" queryTableFieldId="11" dataDxfId="8" dataCellStyle="Comma"/>
    <tableColumn id="12" xr3:uid="{ACD294EC-BD82-4F47-9B97-B8B713B022A6}" uniqueName="12" name="Delivery Status" queryTableFieldId="12" dataDxfId="7"/>
    <tableColumn id="13" xr3:uid="{D80124F3-CE4D-4F4D-BE51-95AE53FF366A}" uniqueName="13" name="Satisfaction" queryTableFieldId="13" dataDxfId="6"/>
    <tableColumn id="14" xr3:uid="{E6FF3431-4F65-48BF-887D-EE5F7B60E21A}" uniqueName="14" name="Used Promo" queryTableFieldId="14" dataDxfId="5"/>
    <tableColumn id="15" xr3:uid="{EB77BE96-15C4-4CDA-81B3-88BCC2135B54}" uniqueName="15" name="Status Review"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showGridLines="0" workbookViewId="0">
      <selection sqref="A1:H1"/>
    </sheetView>
  </sheetViews>
  <sheetFormatPr defaultRowHeight="15" x14ac:dyDescent="0.25"/>
  <cols>
    <col min="1" max="1" width="24" customWidth="1"/>
    <col min="2" max="2" width="96" customWidth="1"/>
  </cols>
  <sheetData>
    <row r="1" spans="1:8" ht="30" customHeight="1" x14ac:dyDescent="0.25">
      <c r="A1" s="19" t="s">
        <v>0</v>
      </c>
      <c r="B1" s="18"/>
      <c r="C1" s="18"/>
      <c r="D1" s="18"/>
      <c r="E1" s="18"/>
      <c r="F1" s="18"/>
      <c r="G1" s="18"/>
      <c r="H1" s="18"/>
    </row>
    <row r="2" spans="1:8" x14ac:dyDescent="0.25">
      <c r="A2" s="17" t="s">
        <v>1</v>
      </c>
      <c r="B2" s="18"/>
      <c r="C2" s="18"/>
      <c r="D2" s="18"/>
      <c r="E2" s="18"/>
      <c r="F2" s="18"/>
      <c r="G2" s="18"/>
      <c r="H2" s="18"/>
    </row>
    <row r="5" spans="1:8" x14ac:dyDescent="0.25">
      <c r="A5" s="1" t="s">
        <v>2</v>
      </c>
      <c r="B5" s="1" t="s">
        <v>3</v>
      </c>
    </row>
    <row r="6" spans="1:8" x14ac:dyDescent="0.25">
      <c r="A6" s="2" t="s">
        <v>4</v>
      </c>
      <c r="B6" s="2" t="s">
        <v>5</v>
      </c>
    </row>
    <row r="7" spans="1:8" x14ac:dyDescent="0.25">
      <c r="A7" s="2" t="s">
        <v>6</v>
      </c>
      <c r="B7" s="3" t="s">
        <v>7</v>
      </c>
    </row>
    <row r="8" spans="1:8" x14ac:dyDescent="0.25">
      <c r="A8" s="2" t="s">
        <v>8</v>
      </c>
      <c r="B8" s="3" t="s">
        <v>9</v>
      </c>
    </row>
    <row r="9" spans="1:8" x14ac:dyDescent="0.25">
      <c r="A9" s="2" t="s">
        <v>10</v>
      </c>
      <c r="B9" s="3" t="s">
        <v>11</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30"/>
  <sheetViews>
    <sheetView showGridLines="0" workbookViewId="0">
      <pane ySplit="5" topLeftCell="A7" activePane="bottomLeft" state="frozen"/>
      <selection pane="bottomLeft" activeCell="E10" sqref="E10"/>
    </sheetView>
  </sheetViews>
  <sheetFormatPr defaultRowHeight="15" x14ac:dyDescent="0.25"/>
  <cols>
    <col min="1" max="2" width="14" customWidth="1"/>
    <col min="3" max="3" width="20" customWidth="1"/>
    <col min="4" max="5" width="14" customWidth="1"/>
    <col min="6" max="7" width="20" customWidth="1"/>
    <col min="8" max="8" width="18" customWidth="1"/>
    <col min="9" max="9" width="15" customWidth="1"/>
    <col min="10" max="10" width="16" customWidth="1"/>
    <col min="11" max="11" width="14" customWidth="1"/>
    <col min="12" max="12" width="16" customWidth="1"/>
    <col min="13" max="13" width="18" customWidth="1"/>
    <col min="14" max="14" width="12" customWidth="1"/>
  </cols>
  <sheetData>
    <row r="1" spans="1:14" ht="30" customHeight="1" x14ac:dyDescent="0.25">
      <c r="A1" s="19" t="s">
        <v>12</v>
      </c>
      <c r="B1" s="18"/>
      <c r="C1" s="18"/>
      <c r="D1" s="18"/>
      <c r="E1" s="18"/>
      <c r="F1" s="18"/>
      <c r="G1" s="18"/>
      <c r="H1" s="18"/>
    </row>
    <row r="2" spans="1:14" x14ac:dyDescent="0.25">
      <c r="A2" s="17" t="s">
        <v>13</v>
      </c>
      <c r="B2" s="18"/>
      <c r="C2" s="18"/>
      <c r="D2" s="18"/>
      <c r="E2" s="18"/>
      <c r="F2" s="18"/>
      <c r="G2" s="18"/>
      <c r="H2" s="18"/>
    </row>
    <row r="5" spans="1:14" ht="27" x14ac:dyDescent="0.25">
      <c r="A5" s="1" t="s">
        <v>14</v>
      </c>
      <c r="B5" s="1" t="s">
        <v>15</v>
      </c>
      <c r="C5" s="1" t="s">
        <v>16</v>
      </c>
      <c r="D5" s="1" t="s">
        <v>17</v>
      </c>
      <c r="E5" s="1" t="s">
        <v>18</v>
      </c>
      <c r="F5" s="1" t="s">
        <v>19</v>
      </c>
      <c r="G5" s="1" t="s">
        <v>20</v>
      </c>
      <c r="H5" s="1" t="s">
        <v>21</v>
      </c>
      <c r="I5" s="1" t="s">
        <v>22</v>
      </c>
      <c r="J5" s="1" t="s">
        <v>23</v>
      </c>
      <c r="K5" s="1" t="s">
        <v>24</v>
      </c>
      <c r="L5" s="1" t="s">
        <v>25</v>
      </c>
      <c r="M5" s="1" t="s">
        <v>26</v>
      </c>
      <c r="N5" s="1" t="s">
        <v>27</v>
      </c>
    </row>
    <row r="6" spans="1:14" x14ac:dyDescent="0.25">
      <c r="A6" s="2" t="s">
        <v>28</v>
      </c>
      <c r="B6" s="2" t="s">
        <v>29</v>
      </c>
      <c r="C6" s="2" t="s">
        <v>30</v>
      </c>
      <c r="D6" s="4">
        <v>46179</v>
      </c>
      <c r="E6" s="2" t="s">
        <v>31</v>
      </c>
      <c r="F6" s="2" t="s">
        <v>32</v>
      </c>
      <c r="G6" s="2" t="s">
        <v>33</v>
      </c>
      <c r="H6" s="2" t="s">
        <v>34</v>
      </c>
      <c r="I6" s="2">
        <v>4</v>
      </c>
      <c r="J6" s="5">
        <v>2028370</v>
      </c>
      <c r="K6" s="5">
        <v>15000</v>
      </c>
      <c r="L6" s="2" t="s">
        <v>35</v>
      </c>
      <c r="M6" s="2" t="s">
        <v>36</v>
      </c>
      <c r="N6" s="2" t="s">
        <v>37</v>
      </c>
    </row>
    <row r="7" spans="1:14" x14ac:dyDescent="0.25">
      <c r="A7" s="2" t="s">
        <v>38</v>
      </c>
      <c r="B7" s="2" t="s">
        <v>39</v>
      </c>
      <c r="C7" s="2" t="s">
        <v>40</v>
      </c>
      <c r="D7" s="4">
        <v>46031</v>
      </c>
      <c r="E7" s="2" t="s">
        <v>41</v>
      </c>
      <c r="F7" s="2" t="s">
        <v>42</v>
      </c>
      <c r="G7" s="2" t="s">
        <v>33</v>
      </c>
      <c r="H7" s="2" t="s">
        <v>34</v>
      </c>
      <c r="I7" s="2">
        <v>2</v>
      </c>
      <c r="J7" s="5">
        <v>370197</v>
      </c>
      <c r="K7" s="5">
        <v>25000</v>
      </c>
      <c r="L7" s="2" t="s">
        <v>35</v>
      </c>
      <c r="M7" s="2" t="s">
        <v>36</v>
      </c>
      <c r="N7" s="2" t="s">
        <v>37</v>
      </c>
    </row>
    <row r="8" spans="1:14" x14ac:dyDescent="0.25">
      <c r="A8" s="2" t="s">
        <v>43</v>
      </c>
      <c r="B8" s="2" t="s">
        <v>44</v>
      </c>
      <c r="C8" s="2" t="s">
        <v>45</v>
      </c>
      <c r="D8" s="4">
        <v>46063</v>
      </c>
      <c r="E8" s="2" t="s">
        <v>41</v>
      </c>
      <c r="F8" s="2" t="s">
        <v>42</v>
      </c>
      <c r="G8" s="2" t="s">
        <v>46</v>
      </c>
      <c r="H8" s="2" t="s">
        <v>47</v>
      </c>
      <c r="I8" s="2">
        <v>5</v>
      </c>
      <c r="J8" s="5">
        <v>832761</v>
      </c>
      <c r="K8" s="5">
        <v>50000</v>
      </c>
      <c r="L8" s="2" t="s">
        <v>48</v>
      </c>
      <c r="M8" s="2" t="s">
        <v>49</v>
      </c>
      <c r="N8" s="2" t="s">
        <v>37</v>
      </c>
    </row>
    <row r="9" spans="1:14" x14ac:dyDescent="0.25">
      <c r="A9" s="2" t="s">
        <v>50</v>
      </c>
      <c r="B9" s="2" t="s">
        <v>51</v>
      </c>
      <c r="C9" s="2" t="s">
        <v>52</v>
      </c>
      <c r="D9" s="4">
        <v>46026</v>
      </c>
      <c r="E9" s="2" t="s">
        <v>53</v>
      </c>
      <c r="F9" s="2" t="s">
        <v>42</v>
      </c>
      <c r="G9" s="2" t="s">
        <v>46</v>
      </c>
      <c r="H9" s="2" t="s">
        <v>54</v>
      </c>
      <c r="I9" s="2">
        <v>2</v>
      </c>
      <c r="J9" s="5">
        <v>1915625</v>
      </c>
      <c r="K9" s="5">
        <v>15000</v>
      </c>
      <c r="L9" s="2" t="s">
        <v>35</v>
      </c>
      <c r="M9" s="2" t="s">
        <v>36</v>
      </c>
      <c r="N9" s="2" t="s">
        <v>37</v>
      </c>
    </row>
    <row r="10" spans="1:14" x14ac:dyDescent="0.25">
      <c r="A10" s="2" t="s">
        <v>55</v>
      </c>
      <c r="B10" s="2" t="s">
        <v>56</v>
      </c>
      <c r="C10" s="2" t="s">
        <v>57</v>
      </c>
      <c r="D10" s="4">
        <v>46033</v>
      </c>
      <c r="E10" s="2" t="s">
        <v>58</v>
      </c>
      <c r="F10" s="2" t="s">
        <v>59</v>
      </c>
      <c r="G10" s="2" t="s">
        <v>60</v>
      </c>
      <c r="H10" s="2" t="s">
        <v>34</v>
      </c>
      <c r="I10" s="2">
        <v>1</v>
      </c>
      <c r="J10" s="5">
        <v>2094060</v>
      </c>
      <c r="K10" s="5">
        <v>50000</v>
      </c>
      <c r="L10" s="2" t="s">
        <v>35</v>
      </c>
      <c r="M10" s="2" t="s">
        <v>36</v>
      </c>
      <c r="N10" s="2" t="s">
        <v>61</v>
      </c>
    </row>
    <row r="11" spans="1:14" x14ac:dyDescent="0.25">
      <c r="A11" s="2" t="s">
        <v>62</v>
      </c>
      <c r="B11" s="2" t="s">
        <v>63</v>
      </c>
      <c r="C11" s="2" t="s">
        <v>64</v>
      </c>
      <c r="D11" s="4">
        <v>46026</v>
      </c>
      <c r="E11" s="2" t="s">
        <v>58</v>
      </c>
      <c r="F11" s="2" t="s">
        <v>65</v>
      </c>
      <c r="G11" s="2" t="s">
        <v>60</v>
      </c>
      <c r="H11" s="2" t="s">
        <v>66</v>
      </c>
      <c r="I11" s="2">
        <v>2</v>
      </c>
      <c r="J11" s="5">
        <v>1825479</v>
      </c>
      <c r="K11" s="5">
        <v>15000</v>
      </c>
      <c r="L11" s="2" t="s">
        <v>35</v>
      </c>
      <c r="M11" s="2" t="s">
        <v>67</v>
      </c>
      <c r="N11" s="2" t="s">
        <v>61</v>
      </c>
    </row>
    <row r="12" spans="1:14" x14ac:dyDescent="0.25">
      <c r="A12" s="2" t="s">
        <v>68</v>
      </c>
      <c r="B12" s="2" t="s">
        <v>69</v>
      </c>
      <c r="C12" s="2" t="s">
        <v>70</v>
      </c>
      <c r="D12" s="4">
        <v>46140</v>
      </c>
      <c r="E12" s="2" t="s">
        <v>41</v>
      </c>
      <c r="F12" s="2" t="s">
        <v>42</v>
      </c>
      <c r="G12" s="2" t="s">
        <v>33</v>
      </c>
      <c r="H12" s="2" t="s">
        <v>47</v>
      </c>
      <c r="I12" s="2">
        <v>4</v>
      </c>
      <c r="J12" s="5">
        <v>222397</v>
      </c>
      <c r="K12" s="5">
        <v>35000</v>
      </c>
      <c r="L12" s="2" t="s">
        <v>35</v>
      </c>
      <c r="M12" s="2" t="s">
        <v>71</v>
      </c>
      <c r="N12" s="2" t="s">
        <v>61</v>
      </c>
    </row>
    <row r="13" spans="1:14" x14ac:dyDescent="0.25">
      <c r="A13" s="2" t="s">
        <v>72</v>
      </c>
      <c r="B13" s="2" t="s">
        <v>73</v>
      </c>
      <c r="C13" s="2" t="s">
        <v>74</v>
      </c>
      <c r="D13" s="4">
        <v>46183</v>
      </c>
      <c r="E13" s="2" t="s">
        <v>41</v>
      </c>
      <c r="F13" s="2" t="s">
        <v>32</v>
      </c>
      <c r="G13" s="2" t="s">
        <v>75</v>
      </c>
      <c r="H13" s="2" t="s">
        <v>76</v>
      </c>
      <c r="I13" s="2">
        <v>6</v>
      </c>
      <c r="J13" s="5">
        <v>416531</v>
      </c>
      <c r="K13" s="5">
        <v>35000</v>
      </c>
      <c r="L13" s="2" t="s">
        <v>35</v>
      </c>
      <c r="M13" s="2" t="s">
        <v>67</v>
      </c>
      <c r="N13" s="2" t="s">
        <v>61</v>
      </c>
    </row>
    <row r="14" spans="1:14" x14ac:dyDescent="0.25">
      <c r="A14" s="2" t="s">
        <v>77</v>
      </c>
      <c r="B14" s="2" t="s">
        <v>78</v>
      </c>
      <c r="C14" s="2" t="s">
        <v>79</v>
      </c>
      <c r="D14" s="4">
        <v>46198</v>
      </c>
      <c r="E14" s="2" t="s">
        <v>80</v>
      </c>
      <c r="F14" s="2" t="s">
        <v>65</v>
      </c>
      <c r="G14" s="2" t="s">
        <v>81</v>
      </c>
      <c r="H14" s="2" t="s">
        <v>47</v>
      </c>
      <c r="I14" s="2">
        <v>3</v>
      </c>
      <c r="J14" s="5">
        <v>459566</v>
      </c>
      <c r="K14" s="5">
        <v>50000</v>
      </c>
      <c r="L14" s="2" t="s">
        <v>35</v>
      </c>
      <c r="M14" s="2" t="s">
        <v>67</v>
      </c>
      <c r="N14" s="2" t="s">
        <v>37</v>
      </c>
    </row>
    <row r="15" spans="1:14" x14ac:dyDescent="0.25">
      <c r="A15" s="2" t="s">
        <v>82</v>
      </c>
      <c r="B15" s="2" t="s">
        <v>83</v>
      </c>
      <c r="C15" s="2" t="s">
        <v>84</v>
      </c>
      <c r="D15" s="4">
        <v>46181</v>
      </c>
      <c r="E15" s="2" t="s">
        <v>58</v>
      </c>
      <c r="F15" s="2" t="s">
        <v>42</v>
      </c>
      <c r="G15" s="2" t="s">
        <v>85</v>
      </c>
      <c r="H15" s="2" t="s">
        <v>66</v>
      </c>
      <c r="I15" s="2">
        <v>3</v>
      </c>
      <c r="J15" s="5">
        <v>291439</v>
      </c>
      <c r="K15" s="5">
        <v>25000</v>
      </c>
      <c r="L15" s="2" t="s">
        <v>35</v>
      </c>
      <c r="M15" s="2" t="s">
        <v>36</v>
      </c>
      <c r="N15" s="2" t="s">
        <v>61</v>
      </c>
    </row>
    <row r="16" spans="1:14" x14ac:dyDescent="0.25">
      <c r="A16" s="2" t="s">
        <v>86</v>
      </c>
      <c r="B16" s="2" t="s">
        <v>87</v>
      </c>
      <c r="C16" s="2" t="s">
        <v>88</v>
      </c>
      <c r="D16" s="4">
        <v>46052</v>
      </c>
      <c r="E16" s="2" t="s">
        <v>31</v>
      </c>
      <c r="F16" s="2" t="s">
        <v>32</v>
      </c>
      <c r="G16" s="2" t="s">
        <v>33</v>
      </c>
      <c r="H16" s="2" t="s">
        <v>66</v>
      </c>
      <c r="I16" s="2">
        <v>7</v>
      </c>
      <c r="J16" s="5">
        <v>2126947</v>
      </c>
      <c r="K16" s="5">
        <v>50000</v>
      </c>
      <c r="L16" s="2" t="s">
        <v>89</v>
      </c>
      <c r="M16" s="2" t="s">
        <v>49</v>
      </c>
      <c r="N16" s="2" t="s">
        <v>37</v>
      </c>
    </row>
    <row r="17" spans="1:14" x14ac:dyDescent="0.25">
      <c r="A17" s="2" t="s">
        <v>90</v>
      </c>
      <c r="B17" s="2" t="s">
        <v>91</v>
      </c>
      <c r="C17" s="2" t="s">
        <v>92</v>
      </c>
      <c r="D17" s="4">
        <v>46036</v>
      </c>
      <c r="E17" s="2" t="s">
        <v>58</v>
      </c>
      <c r="F17" s="2" t="s">
        <v>59</v>
      </c>
      <c r="G17" s="2" t="s">
        <v>75</v>
      </c>
      <c r="H17" s="2" t="s">
        <v>76</v>
      </c>
      <c r="I17" s="2">
        <v>3</v>
      </c>
      <c r="J17" s="5">
        <v>385789</v>
      </c>
      <c r="K17" s="5">
        <v>25000</v>
      </c>
      <c r="L17" s="2" t="s">
        <v>35</v>
      </c>
      <c r="M17" s="2" t="s">
        <v>36</v>
      </c>
      <c r="N17" s="2" t="s">
        <v>37</v>
      </c>
    </row>
    <row r="18" spans="1:14" x14ac:dyDescent="0.25">
      <c r="A18" s="2" t="s">
        <v>93</v>
      </c>
      <c r="B18" s="2" t="s">
        <v>94</v>
      </c>
      <c r="C18" s="2" t="s">
        <v>70</v>
      </c>
      <c r="D18" s="4">
        <v>46181</v>
      </c>
      <c r="E18" s="2" t="s">
        <v>31</v>
      </c>
      <c r="F18" s="2" t="s">
        <v>32</v>
      </c>
      <c r="G18" s="2" t="s">
        <v>81</v>
      </c>
      <c r="H18" s="2" t="s">
        <v>54</v>
      </c>
      <c r="I18" s="2">
        <v>2</v>
      </c>
      <c r="J18" s="5">
        <v>1664115</v>
      </c>
      <c r="K18" s="5">
        <v>0</v>
      </c>
      <c r="L18" s="2" t="s">
        <v>48</v>
      </c>
      <c r="M18" s="2" t="s">
        <v>36</v>
      </c>
      <c r="N18" s="2" t="s">
        <v>61</v>
      </c>
    </row>
    <row r="19" spans="1:14" x14ac:dyDescent="0.25">
      <c r="A19" s="2" t="s">
        <v>95</v>
      </c>
      <c r="B19" s="2" t="s">
        <v>91</v>
      </c>
      <c r="C19" s="2" t="s">
        <v>92</v>
      </c>
      <c r="D19" s="4">
        <v>46051</v>
      </c>
      <c r="E19" s="2" t="s">
        <v>80</v>
      </c>
      <c r="F19" s="2" t="s">
        <v>59</v>
      </c>
      <c r="G19" s="2" t="s">
        <v>75</v>
      </c>
      <c r="H19" s="2" t="s">
        <v>76</v>
      </c>
      <c r="I19" s="2">
        <v>2</v>
      </c>
      <c r="J19" s="5">
        <v>740564</v>
      </c>
      <c r="K19" s="5">
        <v>35000</v>
      </c>
      <c r="L19" s="2" t="s">
        <v>48</v>
      </c>
      <c r="M19" s="2" t="s">
        <v>71</v>
      </c>
      <c r="N19" s="2" t="s">
        <v>61</v>
      </c>
    </row>
    <row r="20" spans="1:14" x14ac:dyDescent="0.25">
      <c r="A20" s="2" t="s">
        <v>96</v>
      </c>
      <c r="B20" s="2" t="s">
        <v>97</v>
      </c>
      <c r="C20" s="2" t="s">
        <v>98</v>
      </c>
      <c r="D20" s="4">
        <v>46111</v>
      </c>
      <c r="E20" s="2" t="s">
        <v>58</v>
      </c>
      <c r="F20" s="2" t="s">
        <v>65</v>
      </c>
      <c r="G20" s="2" t="s">
        <v>85</v>
      </c>
      <c r="H20" s="2" t="s">
        <v>76</v>
      </c>
      <c r="I20" s="2">
        <v>6</v>
      </c>
      <c r="J20" s="5">
        <v>1882152</v>
      </c>
      <c r="K20" s="5">
        <v>35000</v>
      </c>
      <c r="L20" s="2" t="s">
        <v>35</v>
      </c>
      <c r="M20" s="2" t="s">
        <v>67</v>
      </c>
      <c r="N20" s="2" t="s">
        <v>37</v>
      </c>
    </row>
    <row r="21" spans="1:14" x14ac:dyDescent="0.25">
      <c r="A21" s="2" t="s">
        <v>99</v>
      </c>
      <c r="B21" s="2" t="s">
        <v>100</v>
      </c>
      <c r="C21" s="2" t="s">
        <v>101</v>
      </c>
      <c r="D21" s="4">
        <v>46171</v>
      </c>
      <c r="E21" s="2" t="s">
        <v>53</v>
      </c>
      <c r="F21" s="2" t="s">
        <v>59</v>
      </c>
      <c r="G21" s="2" t="s">
        <v>60</v>
      </c>
      <c r="H21" s="2" t="s">
        <v>66</v>
      </c>
      <c r="I21" s="2">
        <v>4</v>
      </c>
      <c r="J21" s="5">
        <v>1557775</v>
      </c>
      <c r="K21" s="5">
        <v>25000</v>
      </c>
      <c r="L21" s="2" t="s">
        <v>35</v>
      </c>
      <c r="M21" s="2" t="s">
        <v>36</v>
      </c>
      <c r="N21" s="2" t="s">
        <v>61</v>
      </c>
    </row>
    <row r="22" spans="1:14" x14ac:dyDescent="0.25">
      <c r="A22" s="2" t="s">
        <v>102</v>
      </c>
      <c r="B22" s="2" t="s">
        <v>103</v>
      </c>
      <c r="C22" s="2" t="s">
        <v>104</v>
      </c>
      <c r="D22" s="4">
        <v>46101</v>
      </c>
      <c r="E22" s="2" t="s">
        <v>58</v>
      </c>
      <c r="F22" s="2" t="s">
        <v>42</v>
      </c>
      <c r="G22" s="2" t="s">
        <v>33</v>
      </c>
      <c r="H22" s="2" t="s">
        <v>66</v>
      </c>
      <c r="I22" s="2">
        <v>2</v>
      </c>
      <c r="J22" s="5">
        <v>840317</v>
      </c>
      <c r="K22" s="5">
        <v>25000</v>
      </c>
      <c r="L22" s="2" t="s">
        <v>35</v>
      </c>
      <c r="M22" s="2" t="s">
        <v>49</v>
      </c>
      <c r="N22" s="2" t="s">
        <v>37</v>
      </c>
    </row>
    <row r="23" spans="1:14" x14ac:dyDescent="0.25">
      <c r="A23" s="2" t="s">
        <v>105</v>
      </c>
      <c r="B23" s="2" t="s">
        <v>106</v>
      </c>
      <c r="C23" s="2" t="s">
        <v>107</v>
      </c>
      <c r="D23" s="4">
        <v>46181</v>
      </c>
      <c r="E23" s="2" t="s">
        <v>31</v>
      </c>
      <c r="F23" s="2" t="s">
        <v>42</v>
      </c>
      <c r="G23" s="2" t="s">
        <v>85</v>
      </c>
      <c r="H23" s="2" t="s">
        <v>54</v>
      </c>
      <c r="I23" s="2">
        <v>3</v>
      </c>
      <c r="J23" s="5">
        <v>794401</v>
      </c>
      <c r="K23" s="5">
        <v>50000</v>
      </c>
      <c r="L23" s="2" t="s">
        <v>35</v>
      </c>
      <c r="M23" s="2" t="s">
        <v>108</v>
      </c>
      <c r="N23" s="2" t="s">
        <v>61</v>
      </c>
    </row>
    <row r="24" spans="1:14" x14ac:dyDescent="0.25">
      <c r="A24" s="2" t="s">
        <v>109</v>
      </c>
      <c r="B24" s="2" t="s">
        <v>110</v>
      </c>
      <c r="C24" s="2" t="s">
        <v>111</v>
      </c>
      <c r="D24" s="4">
        <v>46170</v>
      </c>
      <c r="E24" s="2" t="s">
        <v>58</v>
      </c>
      <c r="F24" s="2" t="s">
        <v>32</v>
      </c>
      <c r="G24" s="2" t="s">
        <v>33</v>
      </c>
      <c r="H24" s="2" t="s">
        <v>34</v>
      </c>
      <c r="I24" s="2">
        <v>3</v>
      </c>
      <c r="J24" s="5">
        <v>650468</v>
      </c>
      <c r="K24" s="5">
        <v>35000</v>
      </c>
      <c r="L24" s="2" t="s">
        <v>35</v>
      </c>
      <c r="M24" s="2" t="s">
        <v>67</v>
      </c>
      <c r="N24" s="2" t="s">
        <v>37</v>
      </c>
    </row>
    <row r="25" spans="1:14" x14ac:dyDescent="0.25">
      <c r="A25" s="2" t="s">
        <v>112</v>
      </c>
      <c r="B25" s="2" t="s">
        <v>113</v>
      </c>
      <c r="C25" s="2" t="s">
        <v>114</v>
      </c>
      <c r="D25" s="4">
        <v>46161</v>
      </c>
      <c r="E25" s="2" t="s">
        <v>41</v>
      </c>
      <c r="F25" s="2" t="s">
        <v>42</v>
      </c>
      <c r="G25" s="2" t="s">
        <v>60</v>
      </c>
      <c r="H25" s="2" t="s">
        <v>66</v>
      </c>
      <c r="I25" s="2">
        <v>3</v>
      </c>
      <c r="J25" s="5">
        <v>801983</v>
      </c>
      <c r="K25" s="5">
        <v>50000</v>
      </c>
      <c r="L25" s="2" t="s">
        <v>35</v>
      </c>
      <c r="M25" s="2" t="s">
        <v>67</v>
      </c>
      <c r="N25" s="2" t="s">
        <v>61</v>
      </c>
    </row>
    <row r="26" spans="1:14" x14ac:dyDescent="0.25">
      <c r="A26" s="2" t="s">
        <v>115</v>
      </c>
      <c r="B26" s="2" t="s">
        <v>116</v>
      </c>
      <c r="C26" s="2" t="s">
        <v>74</v>
      </c>
      <c r="D26" s="4">
        <v>46162</v>
      </c>
      <c r="E26" s="2" t="s">
        <v>80</v>
      </c>
      <c r="F26" s="2" t="s">
        <v>42</v>
      </c>
      <c r="G26" s="2" t="s">
        <v>46</v>
      </c>
      <c r="H26" s="2" t="s">
        <v>47</v>
      </c>
      <c r="I26" s="2">
        <v>6</v>
      </c>
      <c r="J26" s="5">
        <v>2248227</v>
      </c>
      <c r="K26" s="5">
        <v>25000</v>
      </c>
      <c r="L26" s="2" t="s">
        <v>35</v>
      </c>
      <c r="M26" s="2" t="s">
        <v>36</v>
      </c>
      <c r="N26" s="2" t="s">
        <v>37</v>
      </c>
    </row>
    <row r="27" spans="1:14" x14ac:dyDescent="0.25">
      <c r="A27" s="2" t="s">
        <v>117</v>
      </c>
      <c r="B27" s="2" t="s">
        <v>118</v>
      </c>
      <c r="C27" s="2" t="s">
        <v>119</v>
      </c>
      <c r="D27" s="4">
        <v>46051</v>
      </c>
      <c r="E27" s="2" t="s">
        <v>58</v>
      </c>
      <c r="F27" s="2" t="s">
        <v>59</v>
      </c>
      <c r="G27" s="2" t="s">
        <v>46</v>
      </c>
      <c r="H27" s="2" t="s">
        <v>34</v>
      </c>
      <c r="I27" s="2">
        <v>2</v>
      </c>
      <c r="J27" s="5">
        <v>2128992</v>
      </c>
      <c r="K27" s="5">
        <v>0</v>
      </c>
      <c r="L27" s="2" t="s">
        <v>35</v>
      </c>
      <c r="M27" s="2" t="s">
        <v>67</v>
      </c>
      <c r="N27" s="2" t="s">
        <v>37</v>
      </c>
    </row>
    <row r="28" spans="1:14" x14ac:dyDescent="0.25">
      <c r="A28" s="2" t="s">
        <v>120</v>
      </c>
      <c r="B28" s="2" t="s">
        <v>121</v>
      </c>
      <c r="C28" s="2" t="s">
        <v>122</v>
      </c>
      <c r="D28" s="4">
        <v>46046</v>
      </c>
      <c r="E28" s="2" t="s">
        <v>31</v>
      </c>
      <c r="F28" s="2" t="s">
        <v>32</v>
      </c>
      <c r="G28" s="2" t="s">
        <v>85</v>
      </c>
      <c r="H28" s="2" t="s">
        <v>54</v>
      </c>
      <c r="I28" s="2">
        <v>5</v>
      </c>
      <c r="J28" s="5">
        <v>1488880</v>
      </c>
      <c r="K28" s="5">
        <v>0</v>
      </c>
      <c r="L28" s="2" t="s">
        <v>123</v>
      </c>
      <c r="M28" s="2" t="s">
        <v>36</v>
      </c>
      <c r="N28" s="2" t="s">
        <v>61</v>
      </c>
    </row>
    <row r="29" spans="1:14" x14ac:dyDescent="0.25">
      <c r="A29" s="2" t="s">
        <v>124</v>
      </c>
      <c r="B29" s="2" t="s">
        <v>125</v>
      </c>
      <c r="C29" s="2" t="s">
        <v>126</v>
      </c>
      <c r="D29" s="4">
        <v>46137</v>
      </c>
      <c r="E29" s="2" t="s">
        <v>53</v>
      </c>
      <c r="F29" s="2" t="s">
        <v>65</v>
      </c>
      <c r="G29" s="2" t="s">
        <v>75</v>
      </c>
      <c r="H29" s="2" t="s">
        <v>66</v>
      </c>
      <c r="I29" s="2">
        <v>4</v>
      </c>
      <c r="J29" s="5">
        <v>486485</v>
      </c>
      <c r="K29" s="5">
        <v>50000</v>
      </c>
      <c r="L29" s="2" t="s">
        <v>35</v>
      </c>
      <c r="M29" s="2" t="s">
        <v>67</v>
      </c>
      <c r="N29" s="2" t="s">
        <v>37</v>
      </c>
    </row>
    <row r="30" spans="1:14" x14ac:dyDescent="0.25">
      <c r="A30" s="2" t="s">
        <v>127</v>
      </c>
      <c r="B30" s="2" t="s">
        <v>128</v>
      </c>
      <c r="C30" s="2" t="s">
        <v>129</v>
      </c>
      <c r="D30" s="4">
        <v>46132</v>
      </c>
      <c r="E30" s="2" t="s">
        <v>80</v>
      </c>
      <c r="F30" s="2" t="s">
        <v>59</v>
      </c>
      <c r="G30" s="2" t="s">
        <v>46</v>
      </c>
      <c r="H30" s="2" t="s">
        <v>130</v>
      </c>
      <c r="I30" s="2">
        <v>3</v>
      </c>
      <c r="J30" s="5">
        <v>1670340</v>
      </c>
      <c r="K30" s="5">
        <v>35000</v>
      </c>
      <c r="L30" s="2" t="s">
        <v>35</v>
      </c>
      <c r="M30" s="2" t="s">
        <v>67</v>
      </c>
      <c r="N30" s="2" t="s">
        <v>61</v>
      </c>
    </row>
    <row r="31" spans="1:14" x14ac:dyDescent="0.25">
      <c r="A31" s="2" t="s">
        <v>131</v>
      </c>
      <c r="B31" s="2" t="s">
        <v>132</v>
      </c>
      <c r="C31" s="2" t="s">
        <v>133</v>
      </c>
      <c r="D31" s="4">
        <v>46136</v>
      </c>
      <c r="E31" s="2" t="s">
        <v>41</v>
      </c>
      <c r="F31" s="2" t="s">
        <v>59</v>
      </c>
      <c r="G31" s="2" t="s">
        <v>85</v>
      </c>
      <c r="H31" s="2" t="s">
        <v>76</v>
      </c>
      <c r="I31" s="2">
        <v>3</v>
      </c>
      <c r="J31" s="5">
        <v>1863193</v>
      </c>
      <c r="K31" s="5">
        <v>35000</v>
      </c>
      <c r="L31" s="2" t="s">
        <v>35</v>
      </c>
      <c r="M31" s="2" t="s">
        <v>36</v>
      </c>
      <c r="N31" s="2" t="s">
        <v>61</v>
      </c>
    </row>
    <row r="32" spans="1:14" x14ac:dyDescent="0.25">
      <c r="A32" s="2" t="s">
        <v>134</v>
      </c>
      <c r="B32" s="2" t="s">
        <v>135</v>
      </c>
      <c r="C32" s="2" t="s">
        <v>136</v>
      </c>
      <c r="D32" s="4">
        <v>46076</v>
      </c>
      <c r="E32" s="2" t="s">
        <v>53</v>
      </c>
      <c r="F32" s="2" t="s">
        <v>59</v>
      </c>
      <c r="G32" s="2" t="s">
        <v>81</v>
      </c>
      <c r="H32" s="2" t="s">
        <v>54</v>
      </c>
      <c r="I32" s="2">
        <v>7</v>
      </c>
      <c r="J32" s="5">
        <v>1391843</v>
      </c>
      <c r="K32" s="5">
        <v>35000</v>
      </c>
      <c r="L32" s="2" t="s">
        <v>35</v>
      </c>
      <c r="M32" s="2" t="s">
        <v>67</v>
      </c>
      <c r="N32" s="2" t="s">
        <v>37</v>
      </c>
    </row>
    <row r="33" spans="1:14" x14ac:dyDescent="0.25">
      <c r="A33" s="2" t="s">
        <v>137</v>
      </c>
      <c r="B33" s="2" t="s">
        <v>138</v>
      </c>
      <c r="C33" s="2" t="s">
        <v>126</v>
      </c>
      <c r="D33" s="4">
        <v>46092</v>
      </c>
      <c r="E33" s="2" t="s">
        <v>31</v>
      </c>
      <c r="F33" s="2" t="s">
        <v>42</v>
      </c>
      <c r="G33" s="2" t="s">
        <v>85</v>
      </c>
      <c r="H33" s="2" t="s">
        <v>47</v>
      </c>
      <c r="I33" s="2">
        <v>5</v>
      </c>
      <c r="J33" s="5">
        <v>1858597</v>
      </c>
      <c r="K33" s="5">
        <v>15000</v>
      </c>
      <c r="L33" s="2" t="s">
        <v>35</v>
      </c>
      <c r="M33" s="2" t="s">
        <v>36</v>
      </c>
      <c r="N33" s="2" t="s">
        <v>37</v>
      </c>
    </row>
    <row r="34" spans="1:14" x14ac:dyDescent="0.25">
      <c r="A34" s="2" t="s">
        <v>139</v>
      </c>
      <c r="B34" s="2" t="s">
        <v>140</v>
      </c>
      <c r="C34" s="2" t="s">
        <v>141</v>
      </c>
      <c r="D34" s="4">
        <v>46148</v>
      </c>
      <c r="E34" s="2" t="s">
        <v>41</v>
      </c>
      <c r="F34" s="2" t="s">
        <v>42</v>
      </c>
      <c r="G34" s="2" t="s">
        <v>81</v>
      </c>
      <c r="H34" s="2" t="s">
        <v>54</v>
      </c>
      <c r="I34" s="2">
        <v>7</v>
      </c>
      <c r="J34" s="5">
        <v>297137</v>
      </c>
      <c r="K34" s="5">
        <v>25000</v>
      </c>
      <c r="L34" s="2" t="s">
        <v>35</v>
      </c>
      <c r="M34" s="2" t="s">
        <v>36</v>
      </c>
      <c r="N34" s="2" t="s">
        <v>61</v>
      </c>
    </row>
    <row r="35" spans="1:14" x14ac:dyDescent="0.25">
      <c r="A35" s="2" t="s">
        <v>142</v>
      </c>
      <c r="B35" s="2" t="s">
        <v>143</v>
      </c>
      <c r="C35" s="2" t="s">
        <v>144</v>
      </c>
      <c r="D35" s="4">
        <v>46099</v>
      </c>
      <c r="E35" s="2" t="s">
        <v>31</v>
      </c>
      <c r="F35" s="2" t="s">
        <v>59</v>
      </c>
      <c r="G35" s="2" t="s">
        <v>75</v>
      </c>
      <c r="H35" s="2" t="s">
        <v>34</v>
      </c>
      <c r="I35" s="2">
        <v>6</v>
      </c>
      <c r="J35" s="5">
        <v>2101981</v>
      </c>
      <c r="K35" s="5">
        <v>0</v>
      </c>
      <c r="L35" s="2" t="s">
        <v>35</v>
      </c>
      <c r="M35" s="2" t="s">
        <v>67</v>
      </c>
      <c r="N35" s="2" t="s">
        <v>61</v>
      </c>
    </row>
    <row r="36" spans="1:14" x14ac:dyDescent="0.25">
      <c r="A36" s="2" t="s">
        <v>145</v>
      </c>
      <c r="B36" s="2" t="s">
        <v>146</v>
      </c>
      <c r="C36" s="2" t="s">
        <v>40</v>
      </c>
      <c r="D36" s="4">
        <v>46093</v>
      </c>
      <c r="E36" s="2" t="s">
        <v>53</v>
      </c>
      <c r="F36" s="2" t="s">
        <v>59</v>
      </c>
      <c r="G36" s="2" t="s">
        <v>147</v>
      </c>
      <c r="H36" s="2" t="s">
        <v>47</v>
      </c>
      <c r="I36" s="2">
        <v>5</v>
      </c>
      <c r="J36" s="5">
        <v>2188002</v>
      </c>
      <c r="K36" s="5">
        <v>0</v>
      </c>
      <c r="L36" s="2" t="s">
        <v>35</v>
      </c>
      <c r="M36" s="2" t="s">
        <v>36</v>
      </c>
      <c r="N36" s="2" t="s">
        <v>61</v>
      </c>
    </row>
    <row r="37" spans="1:14" x14ac:dyDescent="0.25">
      <c r="A37" s="2" t="s">
        <v>148</v>
      </c>
      <c r="B37" s="2" t="s">
        <v>149</v>
      </c>
      <c r="C37" s="2" t="s">
        <v>114</v>
      </c>
      <c r="D37" s="4">
        <v>46154</v>
      </c>
      <c r="E37" s="2" t="s">
        <v>41</v>
      </c>
      <c r="F37" s="2" t="s">
        <v>42</v>
      </c>
      <c r="G37" s="2" t="s">
        <v>33</v>
      </c>
      <c r="H37" s="2" t="s">
        <v>34</v>
      </c>
      <c r="I37" s="2">
        <v>2</v>
      </c>
      <c r="J37" s="5">
        <v>193589</v>
      </c>
      <c r="K37" s="5">
        <v>25000</v>
      </c>
      <c r="L37" s="2" t="s">
        <v>35</v>
      </c>
      <c r="M37" s="2" t="s">
        <v>67</v>
      </c>
      <c r="N37" s="2" t="s">
        <v>61</v>
      </c>
    </row>
    <row r="38" spans="1:14" x14ac:dyDescent="0.25">
      <c r="A38" s="2" t="s">
        <v>150</v>
      </c>
      <c r="B38" s="2" t="s">
        <v>151</v>
      </c>
      <c r="C38" s="2" t="s">
        <v>152</v>
      </c>
      <c r="D38" s="4">
        <v>46115</v>
      </c>
      <c r="E38" s="2" t="s">
        <v>58</v>
      </c>
      <c r="F38" s="2" t="s">
        <v>42</v>
      </c>
      <c r="G38" s="2" t="s">
        <v>75</v>
      </c>
      <c r="H38" s="2" t="s">
        <v>34</v>
      </c>
      <c r="I38" s="2">
        <v>1</v>
      </c>
      <c r="J38" s="5">
        <v>1879569</v>
      </c>
      <c r="K38" s="5">
        <v>25000</v>
      </c>
      <c r="L38" s="2" t="s">
        <v>35</v>
      </c>
      <c r="M38" s="2" t="s">
        <v>36</v>
      </c>
      <c r="N38" s="2" t="s">
        <v>61</v>
      </c>
    </row>
    <row r="39" spans="1:14" x14ac:dyDescent="0.25">
      <c r="A39" s="2" t="s">
        <v>153</v>
      </c>
      <c r="B39" s="2" t="s">
        <v>154</v>
      </c>
      <c r="C39" s="2" t="s">
        <v>84</v>
      </c>
      <c r="D39" s="4">
        <v>46065</v>
      </c>
      <c r="E39" s="2" t="s">
        <v>80</v>
      </c>
      <c r="F39" s="2" t="s">
        <v>32</v>
      </c>
      <c r="G39" s="2" t="s">
        <v>75</v>
      </c>
      <c r="H39" s="2" t="s">
        <v>66</v>
      </c>
      <c r="I39" s="2">
        <v>7</v>
      </c>
      <c r="J39" s="5" t="s">
        <v>155</v>
      </c>
      <c r="K39" s="5">
        <v>25000</v>
      </c>
      <c r="L39" s="2" t="s">
        <v>35</v>
      </c>
      <c r="M39" s="2" t="s">
        <v>71</v>
      </c>
      <c r="N39" s="2" t="s">
        <v>61</v>
      </c>
    </row>
    <row r="40" spans="1:14" x14ac:dyDescent="0.25">
      <c r="A40" s="2" t="s">
        <v>156</v>
      </c>
      <c r="B40" s="2" t="s">
        <v>157</v>
      </c>
      <c r="C40" s="2" t="s">
        <v>158</v>
      </c>
      <c r="D40" s="4">
        <v>46171</v>
      </c>
      <c r="E40" s="2" t="s">
        <v>41</v>
      </c>
      <c r="F40" s="2" t="s">
        <v>159</v>
      </c>
      <c r="G40" s="2" t="s">
        <v>33</v>
      </c>
      <c r="H40" s="2" t="s">
        <v>34</v>
      </c>
      <c r="I40" s="2">
        <v>1</v>
      </c>
      <c r="J40" s="5">
        <v>1594840</v>
      </c>
      <c r="K40" s="5">
        <v>15000</v>
      </c>
      <c r="L40" s="2" t="s">
        <v>35</v>
      </c>
      <c r="M40" s="2" t="s">
        <v>67</v>
      </c>
      <c r="N40" s="2" t="s">
        <v>61</v>
      </c>
    </row>
    <row r="41" spans="1:14" x14ac:dyDescent="0.25">
      <c r="A41" s="2" t="s">
        <v>160</v>
      </c>
      <c r="B41" s="2" t="s">
        <v>161</v>
      </c>
      <c r="C41" s="2" t="s">
        <v>136</v>
      </c>
      <c r="D41" s="4">
        <v>46062</v>
      </c>
      <c r="E41" s="2" t="s">
        <v>53</v>
      </c>
      <c r="F41" s="2" t="s">
        <v>65</v>
      </c>
      <c r="G41" s="2" t="s">
        <v>60</v>
      </c>
      <c r="H41" s="2" t="s">
        <v>47</v>
      </c>
      <c r="I41" s="2">
        <v>7</v>
      </c>
      <c r="J41" s="5">
        <v>2231340</v>
      </c>
      <c r="K41" s="5">
        <v>15000</v>
      </c>
      <c r="L41" s="2" t="s">
        <v>35</v>
      </c>
      <c r="M41" s="2" t="s">
        <v>162</v>
      </c>
      <c r="N41" s="2" t="s">
        <v>61</v>
      </c>
    </row>
    <row r="42" spans="1:14" x14ac:dyDescent="0.25">
      <c r="A42" s="2" t="s">
        <v>163</v>
      </c>
      <c r="B42" s="2" t="s">
        <v>164</v>
      </c>
      <c r="C42" s="2" t="s">
        <v>165</v>
      </c>
      <c r="D42" s="4">
        <v>46056</v>
      </c>
      <c r="E42" s="2" t="s">
        <v>41</v>
      </c>
      <c r="F42" s="2" t="s">
        <v>32</v>
      </c>
      <c r="G42" s="2" t="s">
        <v>85</v>
      </c>
      <c r="H42" s="2" t="s">
        <v>66</v>
      </c>
      <c r="I42" s="2">
        <v>3</v>
      </c>
      <c r="J42" s="5">
        <v>192894</v>
      </c>
      <c r="K42" s="5">
        <v>35000</v>
      </c>
      <c r="L42" s="2" t="s">
        <v>35</v>
      </c>
      <c r="M42" s="2" t="s">
        <v>36</v>
      </c>
      <c r="N42" s="2" t="s">
        <v>61</v>
      </c>
    </row>
    <row r="43" spans="1:14" x14ac:dyDescent="0.25">
      <c r="A43" s="2" t="s">
        <v>166</v>
      </c>
      <c r="B43" s="2" t="s">
        <v>167</v>
      </c>
      <c r="C43" s="2" t="s">
        <v>84</v>
      </c>
      <c r="D43" s="4">
        <v>46053</v>
      </c>
      <c r="E43" s="2" t="s">
        <v>80</v>
      </c>
      <c r="F43" s="2" t="s">
        <v>42</v>
      </c>
      <c r="G43" s="2" t="s">
        <v>85</v>
      </c>
      <c r="H43" s="2" t="s">
        <v>34</v>
      </c>
      <c r="I43" s="2">
        <v>7</v>
      </c>
      <c r="J43" s="5">
        <v>1052636</v>
      </c>
      <c r="K43" s="5">
        <v>15000</v>
      </c>
      <c r="L43" s="2" t="s">
        <v>35</v>
      </c>
      <c r="M43" s="2" t="s">
        <v>36</v>
      </c>
      <c r="N43" s="2" t="s">
        <v>61</v>
      </c>
    </row>
    <row r="44" spans="1:14" x14ac:dyDescent="0.25">
      <c r="A44" s="2" t="s">
        <v>168</v>
      </c>
      <c r="B44" s="2" t="s">
        <v>169</v>
      </c>
      <c r="C44" s="2" t="s">
        <v>170</v>
      </c>
      <c r="D44" s="4">
        <v>46199</v>
      </c>
      <c r="E44" s="2" t="s">
        <v>58</v>
      </c>
      <c r="F44" s="2" t="s">
        <v>42</v>
      </c>
      <c r="G44" s="2" t="s">
        <v>81</v>
      </c>
      <c r="H44" s="2" t="s">
        <v>54</v>
      </c>
      <c r="I44" s="2">
        <v>1</v>
      </c>
      <c r="J44" s="5">
        <v>588596</v>
      </c>
      <c r="K44" s="5">
        <v>0</v>
      </c>
      <c r="L44" s="2" t="s">
        <v>35</v>
      </c>
      <c r="M44" s="2" t="s">
        <v>36</v>
      </c>
      <c r="N44" s="2" t="s">
        <v>61</v>
      </c>
    </row>
    <row r="45" spans="1:14" x14ac:dyDescent="0.25">
      <c r="A45" s="2" t="s">
        <v>171</v>
      </c>
      <c r="B45" s="2" t="s">
        <v>172</v>
      </c>
      <c r="C45" s="2" t="s">
        <v>173</v>
      </c>
      <c r="D45" s="4">
        <v>46053</v>
      </c>
      <c r="E45" s="2" t="s">
        <v>58</v>
      </c>
      <c r="F45" s="2" t="s">
        <v>65</v>
      </c>
      <c r="G45" s="2" t="s">
        <v>46</v>
      </c>
      <c r="H45" s="2" t="s">
        <v>34</v>
      </c>
      <c r="I45" s="2">
        <v>1</v>
      </c>
      <c r="J45" s="5">
        <v>1181211</v>
      </c>
      <c r="K45" s="5">
        <v>0</v>
      </c>
      <c r="L45" s="2" t="s">
        <v>35</v>
      </c>
      <c r="M45" s="2" t="s">
        <v>67</v>
      </c>
      <c r="N45" s="2" t="s">
        <v>61</v>
      </c>
    </row>
    <row r="46" spans="1:14" x14ac:dyDescent="0.25">
      <c r="A46" s="2" t="s">
        <v>174</v>
      </c>
      <c r="B46" s="2" t="s">
        <v>175</v>
      </c>
      <c r="C46" s="2" t="s">
        <v>176</v>
      </c>
      <c r="D46" s="4">
        <v>46194</v>
      </c>
      <c r="E46" s="2" t="s">
        <v>80</v>
      </c>
      <c r="F46" s="2" t="s">
        <v>32</v>
      </c>
      <c r="G46" s="2" t="s">
        <v>33</v>
      </c>
      <c r="H46" s="2" t="s">
        <v>34</v>
      </c>
      <c r="I46" s="2">
        <v>1</v>
      </c>
      <c r="J46" s="5">
        <v>1594439</v>
      </c>
      <c r="K46" s="5">
        <v>0</v>
      </c>
      <c r="L46" s="2" t="s">
        <v>177</v>
      </c>
      <c r="M46" s="2" t="s">
        <v>36</v>
      </c>
      <c r="N46" s="2" t="s">
        <v>61</v>
      </c>
    </row>
    <row r="47" spans="1:14" x14ac:dyDescent="0.25">
      <c r="A47" s="2" t="s">
        <v>178</v>
      </c>
      <c r="B47" s="2" t="s">
        <v>179</v>
      </c>
      <c r="C47" s="2" t="s">
        <v>180</v>
      </c>
      <c r="D47" s="4">
        <v>46168</v>
      </c>
      <c r="E47" s="2" t="s">
        <v>31</v>
      </c>
      <c r="F47" s="2" t="s">
        <v>42</v>
      </c>
      <c r="G47" s="2" t="s">
        <v>33</v>
      </c>
      <c r="H47" s="2" t="s">
        <v>34</v>
      </c>
      <c r="I47" s="2">
        <v>7</v>
      </c>
      <c r="J47" s="5">
        <v>406626</v>
      </c>
      <c r="K47" s="5">
        <v>0</v>
      </c>
      <c r="L47" s="2" t="s">
        <v>35</v>
      </c>
      <c r="M47" s="2" t="s">
        <v>67</v>
      </c>
      <c r="N47" s="2" t="s">
        <v>61</v>
      </c>
    </row>
    <row r="48" spans="1:14" x14ac:dyDescent="0.25">
      <c r="A48" s="2" t="s">
        <v>181</v>
      </c>
      <c r="B48" s="2" t="s">
        <v>182</v>
      </c>
      <c r="C48" s="2" t="s">
        <v>183</v>
      </c>
      <c r="D48" s="2" t="s">
        <v>184</v>
      </c>
      <c r="E48" s="2" t="s">
        <v>53</v>
      </c>
      <c r="F48" s="2" t="s">
        <v>42</v>
      </c>
      <c r="G48" s="2" t="s">
        <v>60</v>
      </c>
      <c r="H48" s="2" t="s">
        <v>185</v>
      </c>
      <c r="I48" s="2">
        <v>7</v>
      </c>
      <c r="J48" s="5">
        <v>1017645</v>
      </c>
      <c r="K48" s="5">
        <v>50000</v>
      </c>
      <c r="L48" s="2" t="s">
        <v>35</v>
      </c>
      <c r="M48" s="2" t="s">
        <v>36</v>
      </c>
      <c r="N48" s="2" t="s">
        <v>61</v>
      </c>
    </row>
    <row r="49" spans="1:14" x14ac:dyDescent="0.25">
      <c r="A49" s="2" t="s">
        <v>186</v>
      </c>
      <c r="B49" s="2" t="s">
        <v>187</v>
      </c>
      <c r="C49" s="2" t="s">
        <v>88</v>
      </c>
      <c r="D49" s="4">
        <v>46113</v>
      </c>
      <c r="E49" s="2" t="s">
        <v>80</v>
      </c>
      <c r="F49" s="2" t="s">
        <v>65</v>
      </c>
      <c r="G49" s="2" t="s">
        <v>60</v>
      </c>
      <c r="H49" s="2" t="s">
        <v>54</v>
      </c>
      <c r="I49" s="2">
        <v>2</v>
      </c>
      <c r="J49" s="5">
        <v>1712220</v>
      </c>
      <c r="K49" s="5">
        <v>35000</v>
      </c>
      <c r="L49" s="2" t="s">
        <v>35</v>
      </c>
      <c r="M49" s="2" t="s">
        <v>36</v>
      </c>
      <c r="N49" s="2" t="s">
        <v>61</v>
      </c>
    </row>
    <row r="50" spans="1:14" x14ac:dyDescent="0.25">
      <c r="A50" s="2" t="s">
        <v>188</v>
      </c>
      <c r="B50" s="2" t="s">
        <v>189</v>
      </c>
      <c r="C50" s="2" t="s">
        <v>190</v>
      </c>
      <c r="D50" s="4">
        <v>46115</v>
      </c>
      <c r="E50" s="2" t="s">
        <v>58</v>
      </c>
      <c r="F50" s="2" t="s">
        <v>59</v>
      </c>
      <c r="G50" s="2" t="s">
        <v>33</v>
      </c>
      <c r="H50" s="2" t="s">
        <v>47</v>
      </c>
      <c r="I50" s="2">
        <v>6</v>
      </c>
      <c r="J50" s="5">
        <v>1329097</v>
      </c>
      <c r="K50" s="5">
        <v>50000</v>
      </c>
      <c r="L50" s="2" t="s">
        <v>35</v>
      </c>
      <c r="M50" s="2" t="s">
        <v>67</v>
      </c>
      <c r="N50" s="2" t="s">
        <v>37</v>
      </c>
    </row>
    <row r="51" spans="1:14" x14ac:dyDescent="0.25">
      <c r="A51" s="2" t="s">
        <v>191</v>
      </c>
      <c r="B51" s="2" t="s">
        <v>192</v>
      </c>
      <c r="C51" s="2" t="s">
        <v>101</v>
      </c>
      <c r="D51" s="4">
        <v>46136</v>
      </c>
      <c r="E51" s="2" t="s">
        <v>31</v>
      </c>
      <c r="F51" s="2" t="s">
        <v>65</v>
      </c>
      <c r="G51" s="2" t="s">
        <v>60</v>
      </c>
      <c r="H51" s="2" t="s">
        <v>66</v>
      </c>
      <c r="I51" s="2">
        <v>4</v>
      </c>
      <c r="J51" s="5">
        <v>1067381</v>
      </c>
      <c r="K51" s="5">
        <v>50000</v>
      </c>
      <c r="L51" s="2" t="s">
        <v>35</v>
      </c>
      <c r="M51" s="2" t="s">
        <v>71</v>
      </c>
      <c r="N51" s="2" t="s">
        <v>61</v>
      </c>
    </row>
    <row r="52" spans="1:14" x14ac:dyDescent="0.25">
      <c r="A52" s="2" t="s">
        <v>193</v>
      </c>
      <c r="B52" s="2" t="s">
        <v>194</v>
      </c>
      <c r="C52" s="2" t="s">
        <v>195</v>
      </c>
      <c r="D52" s="4">
        <v>46195</v>
      </c>
      <c r="E52" s="2" t="s">
        <v>58</v>
      </c>
      <c r="F52" s="2" t="s">
        <v>65</v>
      </c>
      <c r="G52" s="2" t="s">
        <v>85</v>
      </c>
      <c r="H52" s="2" t="s">
        <v>47</v>
      </c>
      <c r="I52" s="2">
        <v>4</v>
      </c>
      <c r="J52" s="5">
        <v>2182122</v>
      </c>
      <c r="K52" s="5">
        <v>0</v>
      </c>
      <c r="L52" s="2" t="s">
        <v>35</v>
      </c>
      <c r="M52" s="2" t="s">
        <v>36</v>
      </c>
      <c r="N52" s="2" t="s">
        <v>37</v>
      </c>
    </row>
    <row r="53" spans="1:14" x14ac:dyDescent="0.25">
      <c r="A53" s="2" t="s">
        <v>196</v>
      </c>
      <c r="B53" s="2" t="s">
        <v>197</v>
      </c>
      <c r="C53" s="2" t="s">
        <v>198</v>
      </c>
      <c r="D53" s="4">
        <v>46174</v>
      </c>
      <c r="E53" s="2" t="s">
        <v>31</v>
      </c>
      <c r="F53" s="2" t="s">
        <v>59</v>
      </c>
      <c r="G53" s="2" t="s">
        <v>81</v>
      </c>
      <c r="H53" s="2" t="s">
        <v>34</v>
      </c>
      <c r="I53" s="2">
        <v>1</v>
      </c>
      <c r="J53" s="5">
        <v>546653</v>
      </c>
      <c r="K53" s="5">
        <v>15000</v>
      </c>
      <c r="L53" s="2" t="s">
        <v>35</v>
      </c>
      <c r="M53" s="2" t="s">
        <v>67</v>
      </c>
      <c r="N53" s="2" t="s">
        <v>37</v>
      </c>
    </row>
    <row r="54" spans="1:14" x14ac:dyDescent="0.25">
      <c r="A54" s="2" t="s">
        <v>199</v>
      </c>
      <c r="B54" s="2" t="s">
        <v>182</v>
      </c>
      <c r="C54" s="2" t="s">
        <v>200</v>
      </c>
      <c r="D54" s="4">
        <v>46150</v>
      </c>
      <c r="E54" s="2" t="s">
        <v>41</v>
      </c>
      <c r="F54" s="2" t="s">
        <v>32</v>
      </c>
      <c r="G54" s="2" t="s">
        <v>201</v>
      </c>
      <c r="H54" s="2" t="s">
        <v>76</v>
      </c>
      <c r="I54" s="2">
        <v>5</v>
      </c>
      <c r="J54" s="5">
        <v>1288190</v>
      </c>
      <c r="K54" s="5">
        <v>50000</v>
      </c>
      <c r="L54" s="2" t="s">
        <v>35</v>
      </c>
      <c r="M54" s="2" t="s">
        <v>71</v>
      </c>
      <c r="N54" s="2" t="s">
        <v>37</v>
      </c>
    </row>
    <row r="55" spans="1:14" x14ac:dyDescent="0.25">
      <c r="A55" s="2" t="s">
        <v>202</v>
      </c>
      <c r="B55" s="2" t="s">
        <v>203</v>
      </c>
      <c r="C55" s="2" t="s">
        <v>204</v>
      </c>
      <c r="D55" s="4">
        <v>46153</v>
      </c>
      <c r="E55" s="2" t="s">
        <v>205</v>
      </c>
      <c r="F55" s="2" t="s">
        <v>59</v>
      </c>
      <c r="G55" s="2" t="s">
        <v>85</v>
      </c>
      <c r="H55" s="2" t="s">
        <v>34</v>
      </c>
      <c r="I55" s="2">
        <v>7</v>
      </c>
      <c r="J55" s="5">
        <v>1289752</v>
      </c>
      <c r="K55" s="5">
        <v>15000</v>
      </c>
      <c r="L55" s="2" t="s">
        <v>35</v>
      </c>
      <c r="M55" s="2" t="s">
        <v>67</v>
      </c>
      <c r="N55" s="2" t="s">
        <v>61</v>
      </c>
    </row>
    <row r="56" spans="1:14" x14ac:dyDescent="0.25">
      <c r="A56" s="2" t="s">
        <v>206</v>
      </c>
      <c r="B56" s="2" t="s">
        <v>207</v>
      </c>
      <c r="C56" s="2" t="s">
        <v>208</v>
      </c>
      <c r="D56" s="4">
        <v>46036</v>
      </c>
      <c r="E56" s="2" t="s">
        <v>53</v>
      </c>
      <c r="F56" s="2" t="s">
        <v>32</v>
      </c>
      <c r="G56" s="2" t="s">
        <v>85</v>
      </c>
      <c r="H56" s="2" t="s">
        <v>66</v>
      </c>
      <c r="I56" s="2">
        <v>6</v>
      </c>
      <c r="J56" s="5">
        <v>406171</v>
      </c>
      <c r="K56" s="5">
        <v>35000</v>
      </c>
      <c r="L56" s="2" t="s">
        <v>35</v>
      </c>
      <c r="M56" s="2" t="s">
        <v>67</v>
      </c>
      <c r="N56" s="2" t="s">
        <v>61</v>
      </c>
    </row>
    <row r="57" spans="1:14" x14ac:dyDescent="0.25">
      <c r="A57" s="2" t="s">
        <v>209</v>
      </c>
      <c r="B57" s="2" t="s">
        <v>210</v>
      </c>
      <c r="C57" s="2" t="s">
        <v>45</v>
      </c>
      <c r="D57" s="4">
        <v>46042</v>
      </c>
      <c r="E57" s="2" t="s">
        <v>41</v>
      </c>
      <c r="F57" s="2" t="s">
        <v>59</v>
      </c>
      <c r="G57" s="2" t="s">
        <v>46</v>
      </c>
      <c r="H57" s="2" t="s">
        <v>66</v>
      </c>
      <c r="I57" s="2">
        <v>7</v>
      </c>
      <c r="J57" s="5">
        <v>2300823</v>
      </c>
      <c r="K57" s="5">
        <v>35000</v>
      </c>
      <c r="L57" s="2" t="s">
        <v>35</v>
      </c>
      <c r="M57" s="2" t="s">
        <v>67</v>
      </c>
      <c r="N57" s="2" t="s">
        <v>37</v>
      </c>
    </row>
    <row r="58" spans="1:14" x14ac:dyDescent="0.25">
      <c r="A58" s="2" t="s">
        <v>211</v>
      </c>
      <c r="B58" s="2" t="s">
        <v>212</v>
      </c>
      <c r="C58" s="2" t="s">
        <v>213</v>
      </c>
      <c r="D58" s="4">
        <v>46161</v>
      </c>
      <c r="E58" s="2" t="s">
        <v>58</v>
      </c>
      <c r="F58" s="2" t="s">
        <v>214</v>
      </c>
      <c r="G58" s="2" t="s">
        <v>60</v>
      </c>
      <c r="H58" s="2" t="s">
        <v>66</v>
      </c>
      <c r="I58" s="2">
        <v>7</v>
      </c>
      <c r="J58" s="5">
        <v>2412690</v>
      </c>
      <c r="K58" s="5">
        <v>0</v>
      </c>
      <c r="L58" s="2" t="s">
        <v>35</v>
      </c>
      <c r="M58" s="2" t="s">
        <v>36</v>
      </c>
      <c r="N58" s="2" t="s">
        <v>37</v>
      </c>
    </row>
    <row r="59" spans="1:14" x14ac:dyDescent="0.25">
      <c r="A59" s="2" t="s">
        <v>215</v>
      </c>
      <c r="B59" s="2" t="s">
        <v>216</v>
      </c>
      <c r="C59" s="2" t="s">
        <v>133</v>
      </c>
      <c r="D59" s="4">
        <v>46140</v>
      </c>
      <c r="E59" s="2" t="s">
        <v>80</v>
      </c>
      <c r="F59" s="2" t="s">
        <v>42</v>
      </c>
      <c r="G59" s="2" t="s">
        <v>60</v>
      </c>
      <c r="H59" s="2" t="s">
        <v>47</v>
      </c>
      <c r="I59" s="2">
        <v>2</v>
      </c>
      <c r="J59" s="5">
        <v>270915</v>
      </c>
      <c r="K59" s="5">
        <v>0</v>
      </c>
      <c r="L59" s="2" t="s">
        <v>35</v>
      </c>
      <c r="M59" s="2" t="s">
        <v>71</v>
      </c>
      <c r="N59" s="2" t="s">
        <v>61</v>
      </c>
    </row>
    <row r="60" spans="1:14" x14ac:dyDescent="0.25">
      <c r="A60" s="2" t="s">
        <v>217</v>
      </c>
      <c r="B60" s="2" t="s">
        <v>218</v>
      </c>
      <c r="C60" s="2" t="s">
        <v>219</v>
      </c>
      <c r="D60" s="2" t="s">
        <v>220</v>
      </c>
      <c r="E60" s="2" t="s">
        <v>53</v>
      </c>
      <c r="F60" s="2" t="s">
        <v>59</v>
      </c>
      <c r="G60" s="2" t="s">
        <v>60</v>
      </c>
      <c r="H60" s="2" t="s">
        <v>76</v>
      </c>
      <c r="I60" s="2">
        <v>5</v>
      </c>
      <c r="J60" s="5">
        <v>2164534</v>
      </c>
      <c r="K60" s="5">
        <v>0</v>
      </c>
      <c r="L60" s="2" t="s">
        <v>35</v>
      </c>
      <c r="M60" s="2" t="s">
        <v>36</v>
      </c>
      <c r="N60" s="2" t="s">
        <v>61</v>
      </c>
    </row>
    <row r="61" spans="1:14" x14ac:dyDescent="0.25">
      <c r="A61" s="2" t="s">
        <v>221</v>
      </c>
      <c r="B61" s="2" t="s">
        <v>179</v>
      </c>
      <c r="C61" s="2" t="s">
        <v>180</v>
      </c>
      <c r="D61" s="4">
        <v>46037</v>
      </c>
      <c r="E61" s="2" t="s">
        <v>80</v>
      </c>
      <c r="F61" s="2" t="s">
        <v>32</v>
      </c>
      <c r="G61" s="2" t="s">
        <v>33</v>
      </c>
      <c r="H61" s="2" t="s">
        <v>54</v>
      </c>
      <c r="I61" s="2">
        <v>4</v>
      </c>
      <c r="J61" s="5">
        <v>1761586</v>
      </c>
      <c r="K61" s="5">
        <v>25000</v>
      </c>
      <c r="L61" s="2" t="s">
        <v>35</v>
      </c>
      <c r="M61" s="2" t="s">
        <v>36</v>
      </c>
      <c r="N61" s="2" t="s">
        <v>61</v>
      </c>
    </row>
    <row r="62" spans="1:14" x14ac:dyDescent="0.25">
      <c r="A62" s="2" t="s">
        <v>222</v>
      </c>
      <c r="B62" s="2" t="s">
        <v>223</v>
      </c>
      <c r="C62" s="2" t="s">
        <v>224</v>
      </c>
      <c r="D62" s="4">
        <v>46034</v>
      </c>
      <c r="E62" s="2" t="s">
        <v>80</v>
      </c>
      <c r="F62" s="2" t="s">
        <v>59</v>
      </c>
      <c r="G62" s="2" t="s">
        <v>81</v>
      </c>
      <c r="H62" s="2" t="s">
        <v>47</v>
      </c>
      <c r="I62" s="2">
        <v>3</v>
      </c>
      <c r="J62" s="5">
        <v>657701</v>
      </c>
      <c r="K62" s="5">
        <v>25000</v>
      </c>
      <c r="L62" s="2" t="s">
        <v>48</v>
      </c>
      <c r="M62" s="2" t="s">
        <v>49</v>
      </c>
      <c r="N62" s="2" t="s">
        <v>37</v>
      </c>
    </row>
    <row r="63" spans="1:14" x14ac:dyDescent="0.25">
      <c r="A63" s="2" t="s">
        <v>225</v>
      </c>
      <c r="B63" s="2" t="s">
        <v>121</v>
      </c>
      <c r="C63" s="2" t="s">
        <v>122</v>
      </c>
      <c r="D63" s="4">
        <v>46128</v>
      </c>
      <c r="E63" s="2" t="s">
        <v>80</v>
      </c>
      <c r="F63" s="2" t="s">
        <v>65</v>
      </c>
      <c r="G63" s="2" t="s">
        <v>75</v>
      </c>
      <c r="H63" s="2" t="s">
        <v>54</v>
      </c>
      <c r="I63" s="2">
        <v>6</v>
      </c>
      <c r="J63" s="5">
        <v>1593330</v>
      </c>
      <c r="K63" s="5">
        <v>0</v>
      </c>
      <c r="L63" s="2" t="s">
        <v>35</v>
      </c>
      <c r="M63" s="2" t="s">
        <v>67</v>
      </c>
      <c r="N63" s="2" t="s">
        <v>37</v>
      </c>
    </row>
    <row r="64" spans="1:14" x14ac:dyDescent="0.25">
      <c r="A64" s="2" t="s">
        <v>226</v>
      </c>
      <c r="B64" s="2" t="s">
        <v>164</v>
      </c>
      <c r="C64" s="2" t="s">
        <v>165</v>
      </c>
      <c r="D64" s="4">
        <v>46109</v>
      </c>
      <c r="E64" s="2" t="s">
        <v>41</v>
      </c>
      <c r="F64" s="2" t="s">
        <v>59</v>
      </c>
      <c r="G64" s="2" t="s">
        <v>33</v>
      </c>
      <c r="H64" s="2" t="s">
        <v>54</v>
      </c>
      <c r="I64" s="2">
        <v>5</v>
      </c>
      <c r="J64" s="5">
        <v>832105</v>
      </c>
      <c r="K64" s="5">
        <v>0</v>
      </c>
      <c r="L64" s="2" t="s">
        <v>35</v>
      </c>
      <c r="M64" s="2" t="s">
        <v>36</v>
      </c>
      <c r="N64" s="2" t="s">
        <v>37</v>
      </c>
    </row>
    <row r="65" spans="1:14" x14ac:dyDescent="0.25">
      <c r="A65" s="2" t="s">
        <v>227</v>
      </c>
      <c r="B65" s="2" t="s">
        <v>228</v>
      </c>
      <c r="C65" s="2" t="s">
        <v>229</v>
      </c>
      <c r="D65" s="4">
        <v>46028</v>
      </c>
      <c r="E65" s="2" t="s">
        <v>41</v>
      </c>
      <c r="F65" s="2" t="s">
        <v>65</v>
      </c>
      <c r="G65" s="2" t="s">
        <v>75</v>
      </c>
      <c r="H65" s="2" t="s">
        <v>34</v>
      </c>
      <c r="I65" s="2">
        <v>5</v>
      </c>
      <c r="J65" s="5"/>
      <c r="K65" s="5">
        <v>35000</v>
      </c>
      <c r="L65" s="2" t="s">
        <v>35</v>
      </c>
      <c r="M65" s="2" t="s">
        <v>36</v>
      </c>
      <c r="N65" s="2" t="s">
        <v>37</v>
      </c>
    </row>
    <row r="66" spans="1:14" x14ac:dyDescent="0.25">
      <c r="A66" s="2" t="s">
        <v>230</v>
      </c>
      <c r="B66" s="2" t="s">
        <v>231</v>
      </c>
      <c r="C66" s="2" t="s">
        <v>232</v>
      </c>
      <c r="D66" s="4">
        <v>46151</v>
      </c>
      <c r="E66" s="2" t="s">
        <v>31</v>
      </c>
      <c r="F66" s="2" t="s">
        <v>59</v>
      </c>
      <c r="G66" s="2" t="s">
        <v>75</v>
      </c>
      <c r="H66" s="2" t="s">
        <v>54</v>
      </c>
      <c r="I66" s="2">
        <v>5</v>
      </c>
      <c r="J66" s="5">
        <v>1544131</v>
      </c>
      <c r="K66" s="5">
        <v>15000</v>
      </c>
      <c r="L66" s="2" t="s">
        <v>35</v>
      </c>
      <c r="M66" s="2" t="s">
        <v>233</v>
      </c>
      <c r="N66" s="2" t="s">
        <v>61</v>
      </c>
    </row>
    <row r="67" spans="1:14" x14ac:dyDescent="0.25">
      <c r="A67" s="2" t="s">
        <v>234</v>
      </c>
      <c r="B67" s="2" t="s">
        <v>235</v>
      </c>
      <c r="C67" s="2" t="s">
        <v>190</v>
      </c>
      <c r="D67" s="4">
        <v>46090</v>
      </c>
      <c r="E67" s="2" t="s">
        <v>58</v>
      </c>
      <c r="F67" s="2" t="s">
        <v>65</v>
      </c>
      <c r="G67" s="2" t="s">
        <v>46</v>
      </c>
      <c r="H67" s="2" t="s">
        <v>66</v>
      </c>
      <c r="I67" s="2">
        <v>5</v>
      </c>
      <c r="J67" s="5">
        <v>319360</v>
      </c>
      <c r="K67" s="5">
        <v>25000</v>
      </c>
      <c r="L67" s="2" t="s">
        <v>35</v>
      </c>
      <c r="M67" s="2" t="s">
        <v>67</v>
      </c>
      <c r="N67" s="2" t="s">
        <v>37</v>
      </c>
    </row>
    <row r="68" spans="1:14" x14ac:dyDescent="0.25">
      <c r="A68" s="2" t="s">
        <v>236</v>
      </c>
      <c r="B68" s="2" t="s">
        <v>237</v>
      </c>
      <c r="C68" s="2" t="s">
        <v>238</v>
      </c>
      <c r="D68" s="4">
        <v>46168</v>
      </c>
      <c r="E68" s="2" t="s">
        <v>80</v>
      </c>
      <c r="F68" s="2" t="s">
        <v>32</v>
      </c>
      <c r="G68" s="2" t="s">
        <v>60</v>
      </c>
      <c r="H68" s="2" t="s">
        <v>76</v>
      </c>
      <c r="I68" s="2">
        <v>4</v>
      </c>
      <c r="J68" s="5">
        <v>2347442</v>
      </c>
      <c r="K68" s="5">
        <v>35000</v>
      </c>
      <c r="L68" s="2" t="s">
        <v>35</v>
      </c>
      <c r="M68" s="2" t="s">
        <v>71</v>
      </c>
      <c r="N68" s="2" t="s">
        <v>37</v>
      </c>
    </row>
    <row r="69" spans="1:14" x14ac:dyDescent="0.25">
      <c r="A69" s="2" t="s">
        <v>239</v>
      </c>
      <c r="B69" s="2" t="s">
        <v>240</v>
      </c>
      <c r="C69" s="2" t="s">
        <v>241</v>
      </c>
      <c r="D69" s="4">
        <v>46129</v>
      </c>
      <c r="E69" s="2" t="s">
        <v>53</v>
      </c>
      <c r="F69" s="2" t="s">
        <v>42</v>
      </c>
      <c r="G69" s="2" t="s">
        <v>81</v>
      </c>
      <c r="H69" s="2" t="s">
        <v>76</v>
      </c>
      <c r="I69" s="2">
        <v>5</v>
      </c>
      <c r="J69" s="5">
        <v>1807372</v>
      </c>
      <c r="K69" s="5">
        <v>25000</v>
      </c>
      <c r="L69" s="2" t="s">
        <v>35</v>
      </c>
      <c r="M69" s="2" t="s">
        <v>36</v>
      </c>
      <c r="N69" s="2" t="s">
        <v>61</v>
      </c>
    </row>
    <row r="70" spans="1:14" x14ac:dyDescent="0.25">
      <c r="A70" s="2" t="s">
        <v>242</v>
      </c>
      <c r="B70" s="2" t="s">
        <v>243</v>
      </c>
      <c r="C70" s="2" t="s">
        <v>244</v>
      </c>
      <c r="D70" s="4">
        <v>46150</v>
      </c>
      <c r="E70" s="2" t="s">
        <v>53</v>
      </c>
      <c r="F70" s="2" t="s">
        <v>59</v>
      </c>
      <c r="G70" s="2" t="s">
        <v>46</v>
      </c>
      <c r="H70" s="2" t="s">
        <v>54</v>
      </c>
      <c r="I70" s="2">
        <v>3</v>
      </c>
      <c r="J70" s="5">
        <v>1013188</v>
      </c>
      <c r="K70" s="5">
        <v>35000</v>
      </c>
      <c r="L70" s="2" t="s">
        <v>245</v>
      </c>
      <c r="M70" s="2" t="s">
        <v>36</v>
      </c>
      <c r="N70" s="2" t="s">
        <v>61</v>
      </c>
    </row>
    <row r="71" spans="1:14" x14ac:dyDescent="0.25">
      <c r="A71" s="2" t="s">
        <v>246</v>
      </c>
      <c r="B71" s="2" t="s">
        <v>247</v>
      </c>
      <c r="C71" s="2" t="s">
        <v>248</v>
      </c>
      <c r="D71" s="4">
        <v>46141</v>
      </c>
      <c r="E71" s="2" t="s">
        <v>41</v>
      </c>
      <c r="F71" s="2" t="s">
        <v>59</v>
      </c>
      <c r="G71" s="2" t="s">
        <v>33</v>
      </c>
      <c r="H71" s="2" t="s">
        <v>54</v>
      </c>
      <c r="I71" s="2">
        <v>2</v>
      </c>
      <c r="J71" s="5">
        <v>739681</v>
      </c>
      <c r="K71" s="5">
        <v>15000</v>
      </c>
      <c r="L71" s="2" t="s">
        <v>123</v>
      </c>
      <c r="M71" s="2" t="s">
        <v>36</v>
      </c>
      <c r="N71" s="2" t="s">
        <v>61</v>
      </c>
    </row>
    <row r="72" spans="1:14" x14ac:dyDescent="0.25">
      <c r="A72" s="2" t="s">
        <v>249</v>
      </c>
      <c r="B72" s="2" t="s">
        <v>250</v>
      </c>
      <c r="C72" s="2" t="s">
        <v>204</v>
      </c>
      <c r="D72" s="4">
        <v>46128</v>
      </c>
      <c r="E72" s="2" t="s">
        <v>31</v>
      </c>
      <c r="F72" s="2" t="s">
        <v>59</v>
      </c>
      <c r="G72" s="2" t="s">
        <v>85</v>
      </c>
      <c r="H72" s="2" t="s">
        <v>54</v>
      </c>
      <c r="I72" s="2">
        <v>6</v>
      </c>
      <c r="J72" s="5">
        <v>1239605</v>
      </c>
      <c r="K72" s="5">
        <v>25000</v>
      </c>
      <c r="L72" s="2" t="s">
        <v>35</v>
      </c>
      <c r="M72" s="2" t="s">
        <v>36</v>
      </c>
      <c r="N72" s="2" t="s">
        <v>61</v>
      </c>
    </row>
    <row r="73" spans="1:14" x14ac:dyDescent="0.25">
      <c r="A73" s="2" t="s">
        <v>251</v>
      </c>
      <c r="B73" s="2" t="s">
        <v>252</v>
      </c>
      <c r="C73" s="2" t="s">
        <v>253</v>
      </c>
      <c r="D73" s="4">
        <v>46030</v>
      </c>
      <c r="E73" s="2" t="s">
        <v>41</v>
      </c>
      <c r="F73" s="2" t="s">
        <v>65</v>
      </c>
      <c r="G73" s="2" t="s">
        <v>85</v>
      </c>
      <c r="H73" s="2" t="s">
        <v>254</v>
      </c>
      <c r="I73" s="2">
        <v>4</v>
      </c>
      <c r="J73" s="5">
        <v>1150064</v>
      </c>
      <c r="K73" s="5">
        <v>25000</v>
      </c>
      <c r="L73" s="2" t="s">
        <v>35</v>
      </c>
      <c r="M73" s="2" t="s">
        <v>49</v>
      </c>
      <c r="N73" s="2" t="s">
        <v>37</v>
      </c>
    </row>
    <row r="74" spans="1:14" x14ac:dyDescent="0.25">
      <c r="A74" s="2" t="s">
        <v>255</v>
      </c>
      <c r="B74" s="2" t="s">
        <v>256</v>
      </c>
      <c r="C74" s="2" t="s">
        <v>257</v>
      </c>
      <c r="D74" s="4">
        <v>46030</v>
      </c>
      <c r="E74" s="2" t="s">
        <v>58</v>
      </c>
      <c r="F74" s="2" t="s">
        <v>59</v>
      </c>
      <c r="G74" s="2" t="s">
        <v>81</v>
      </c>
      <c r="H74" s="2" t="s">
        <v>54</v>
      </c>
      <c r="I74" s="2">
        <v>6</v>
      </c>
      <c r="J74" s="5">
        <v>1203794</v>
      </c>
      <c r="K74" s="5">
        <v>25000</v>
      </c>
      <c r="L74" s="2" t="s">
        <v>35</v>
      </c>
      <c r="M74" s="2" t="s">
        <v>36</v>
      </c>
      <c r="N74" s="2" t="s">
        <v>61</v>
      </c>
    </row>
    <row r="75" spans="1:14" x14ac:dyDescent="0.25">
      <c r="A75" s="2" t="s">
        <v>258</v>
      </c>
      <c r="B75" s="2" t="s">
        <v>259</v>
      </c>
      <c r="C75" s="2" t="s">
        <v>260</v>
      </c>
      <c r="D75" s="4">
        <v>46177</v>
      </c>
      <c r="E75" s="2" t="s">
        <v>41</v>
      </c>
      <c r="F75" s="2" t="s">
        <v>42</v>
      </c>
      <c r="G75" s="2" t="s">
        <v>85</v>
      </c>
      <c r="H75" s="2" t="s">
        <v>54</v>
      </c>
      <c r="I75" s="2">
        <v>4</v>
      </c>
      <c r="J75" s="5">
        <v>1369815</v>
      </c>
      <c r="K75" s="5">
        <v>0</v>
      </c>
      <c r="L75" s="2" t="s">
        <v>48</v>
      </c>
      <c r="M75" s="2" t="s">
        <v>49</v>
      </c>
      <c r="N75" s="2" t="s">
        <v>61</v>
      </c>
    </row>
    <row r="76" spans="1:14" x14ac:dyDescent="0.25">
      <c r="A76" s="2" t="s">
        <v>261</v>
      </c>
      <c r="B76" s="2" t="s">
        <v>262</v>
      </c>
      <c r="C76" s="2" t="s">
        <v>263</v>
      </c>
      <c r="D76" s="4">
        <v>46193</v>
      </c>
      <c r="E76" s="2" t="s">
        <v>80</v>
      </c>
      <c r="F76" s="2" t="s">
        <v>32</v>
      </c>
      <c r="G76" s="2" t="s">
        <v>46</v>
      </c>
      <c r="H76" s="2" t="s">
        <v>47</v>
      </c>
      <c r="I76" s="2">
        <v>4</v>
      </c>
      <c r="J76" s="5">
        <v>2323100</v>
      </c>
      <c r="K76" s="5">
        <v>25000</v>
      </c>
      <c r="L76" s="2" t="s">
        <v>48</v>
      </c>
      <c r="M76" s="2" t="s">
        <v>36</v>
      </c>
      <c r="N76" s="2" t="s">
        <v>61</v>
      </c>
    </row>
    <row r="77" spans="1:14" x14ac:dyDescent="0.25">
      <c r="A77" s="2" t="s">
        <v>264</v>
      </c>
      <c r="B77" s="2" t="s">
        <v>265</v>
      </c>
      <c r="C77" s="2" t="s">
        <v>266</v>
      </c>
      <c r="D77" s="4">
        <v>46131</v>
      </c>
      <c r="E77" s="2" t="s">
        <v>41</v>
      </c>
      <c r="F77" s="2" t="s">
        <v>59</v>
      </c>
      <c r="G77" s="2" t="s">
        <v>33</v>
      </c>
      <c r="H77" s="2" t="s">
        <v>76</v>
      </c>
      <c r="I77" s="2">
        <v>1</v>
      </c>
      <c r="J77" s="5">
        <v>1034393</v>
      </c>
      <c r="K77" s="5">
        <v>15000</v>
      </c>
      <c r="L77" s="2" t="s">
        <v>35</v>
      </c>
      <c r="M77" s="2" t="s">
        <v>49</v>
      </c>
      <c r="N77" s="2" t="s">
        <v>61</v>
      </c>
    </row>
    <row r="78" spans="1:14" x14ac:dyDescent="0.25">
      <c r="A78" s="2" t="s">
        <v>267</v>
      </c>
      <c r="B78" s="2" t="s">
        <v>268</v>
      </c>
      <c r="C78" s="2" t="s">
        <v>219</v>
      </c>
      <c r="D78" s="4">
        <v>46159</v>
      </c>
      <c r="E78" s="2" t="s">
        <v>31</v>
      </c>
      <c r="F78" s="2" t="s">
        <v>32</v>
      </c>
      <c r="G78" s="2" t="s">
        <v>85</v>
      </c>
      <c r="H78" s="2" t="s">
        <v>66</v>
      </c>
      <c r="I78" s="2">
        <v>3</v>
      </c>
      <c r="J78" s="5">
        <v>1691626</v>
      </c>
      <c r="K78" s="5">
        <v>0</v>
      </c>
      <c r="L78" s="2" t="s">
        <v>35</v>
      </c>
      <c r="M78" s="2" t="s">
        <v>36</v>
      </c>
      <c r="N78" s="2" t="s">
        <v>37</v>
      </c>
    </row>
    <row r="79" spans="1:14" x14ac:dyDescent="0.25">
      <c r="A79" s="2" t="s">
        <v>269</v>
      </c>
      <c r="B79" s="2" t="s">
        <v>270</v>
      </c>
      <c r="C79" s="2" t="s">
        <v>271</v>
      </c>
      <c r="D79" s="4">
        <v>46117</v>
      </c>
      <c r="E79" s="2" t="s">
        <v>58</v>
      </c>
      <c r="F79" s="2" t="s">
        <v>42</v>
      </c>
      <c r="G79" s="2" t="s">
        <v>147</v>
      </c>
      <c r="H79" s="2" t="s">
        <v>76</v>
      </c>
      <c r="I79" s="2">
        <v>6</v>
      </c>
      <c r="J79" s="5">
        <v>1412564</v>
      </c>
      <c r="K79" s="5">
        <v>0</v>
      </c>
      <c r="L79" s="2" t="s">
        <v>89</v>
      </c>
      <c r="M79" s="2" t="s">
        <v>49</v>
      </c>
      <c r="N79" s="2" t="s">
        <v>37</v>
      </c>
    </row>
    <row r="80" spans="1:14" x14ac:dyDescent="0.25">
      <c r="A80" s="2" t="s">
        <v>272</v>
      </c>
      <c r="B80" s="2" t="s">
        <v>218</v>
      </c>
      <c r="C80" s="2" t="s">
        <v>219</v>
      </c>
      <c r="D80" s="4">
        <v>46186</v>
      </c>
      <c r="E80" s="2" t="s">
        <v>41</v>
      </c>
      <c r="F80" s="2" t="s">
        <v>32</v>
      </c>
      <c r="G80" s="2" t="s">
        <v>33</v>
      </c>
      <c r="H80" s="2" t="s">
        <v>54</v>
      </c>
      <c r="I80" s="2">
        <v>5</v>
      </c>
      <c r="J80" s="5" t="s">
        <v>273</v>
      </c>
      <c r="K80" s="5">
        <v>0</v>
      </c>
      <c r="L80" s="2" t="s">
        <v>48</v>
      </c>
      <c r="M80" s="2" t="s">
        <v>71</v>
      </c>
      <c r="N80" s="2" t="s">
        <v>61</v>
      </c>
    </row>
    <row r="81" spans="1:14" x14ac:dyDescent="0.25">
      <c r="A81" s="2" t="s">
        <v>274</v>
      </c>
      <c r="B81" s="2" t="s">
        <v>275</v>
      </c>
      <c r="C81" s="2" t="s">
        <v>276</v>
      </c>
      <c r="D81" s="4">
        <v>46076</v>
      </c>
      <c r="E81" s="2" t="s">
        <v>41</v>
      </c>
      <c r="F81" s="2" t="s">
        <v>65</v>
      </c>
      <c r="G81" s="2" t="s">
        <v>33</v>
      </c>
      <c r="H81" s="2" t="s">
        <v>54</v>
      </c>
      <c r="I81" s="2">
        <v>6</v>
      </c>
      <c r="J81" s="5">
        <v>792041</v>
      </c>
      <c r="K81" s="5">
        <v>35000</v>
      </c>
      <c r="L81" s="2" t="s">
        <v>35</v>
      </c>
      <c r="M81" s="2" t="s">
        <v>71</v>
      </c>
      <c r="N81" s="2" t="s">
        <v>37</v>
      </c>
    </row>
    <row r="82" spans="1:14" x14ac:dyDescent="0.25">
      <c r="A82" s="2" t="s">
        <v>277</v>
      </c>
      <c r="B82" s="2" t="s">
        <v>172</v>
      </c>
      <c r="C82" s="2" t="s">
        <v>173</v>
      </c>
      <c r="D82" s="4">
        <v>46128</v>
      </c>
      <c r="E82" s="2" t="s">
        <v>80</v>
      </c>
      <c r="F82" s="2" t="s">
        <v>65</v>
      </c>
      <c r="G82" s="2" t="s">
        <v>33</v>
      </c>
      <c r="H82" s="2" t="s">
        <v>47</v>
      </c>
      <c r="I82" s="2">
        <v>7</v>
      </c>
      <c r="J82" s="5">
        <v>1515538</v>
      </c>
      <c r="K82" s="5">
        <v>35000</v>
      </c>
      <c r="L82" s="2" t="s">
        <v>35</v>
      </c>
      <c r="M82" s="2" t="s">
        <v>67</v>
      </c>
      <c r="N82" s="2" t="s">
        <v>37</v>
      </c>
    </row>
    <row r="83" spans="1:14" x14ac:dyDescent="0.25">
      <c r="A83" s="2" t="s">
        <v>278</v>
      </c>
      <c r="B83" s="2" t="s">
        <v>279</v>
      </c>
      <c r="C83" s="2" t="s">
        <v>111</v>
      </c>
      <c r="D83" s="4">
        <v>46200</v>
      </c>
      <c r="E83" s="2" t="s">
        <v>31</v>
      </c>
      <c r="F83" s="2" t="s">
        <v>280</v>
      </c>
      <c r="G83" s="2" t="s">
        <v>60</v>
      </c>
      <c r="H83" s="2" t="s">
        <v>34</v>
      </c>
      <c r="I83" s="2">
        <v>6</v>
      </c>
      <c r="J83" s="5">
        <v>234717</v>
      </c>
      <c r="K83" s="5">
        <v>0</v>
      </c>
      <c r="L83" s="2" t="s">
        <v>35</v>
      </c>
      <c r="M83" s="2" t="s">
        <v>36</v>
      </c>
      <c r="N83" s="2" t="s">
        <v>37</v>
      </c>
    </row>
    <row r="84" spans="1:14" x14ac:dyDescent="0.25">
      <c r="A84" s="2" t="s">
        <v>281</v>
      </c>
      <c r="B84" s="2" t="s">
        <v>259</v>
      </c>
      <c r="C84" s="2" t="s">
        <v>260</v>
      </c>
      <c r="D84" s="2"/>
      <c r="E84" s="2" t="s">
        <v>31</v>
      </c>
      <c r="F84" s="2" t="s">
        <v>59</v>
      </c>
      <c r="G84" s="2" t="s">
        <v>33</v>
      </c>
      <c r="H84" s="2" t="s">
        <v>47</v>
      </c>
      <c r="I84" s="2">
        <v>2</v>
      </c>
      <c r="J84" s="5">
        <v>464906</v>
      </c>
      <c r="K84" s="5">
        <v>0</v>
      </c>
      <c r="L84" s="2" t="s">
        <v>35</v>
      </c>
      <c r="M84" s="2" t="s">
        <v>36</v>
      </c>
      <c r="N84" s="2" t="s">
        <v>37</v>
      </c>
    </row>
    <row r="85" spans="1:14" x14ac:dyDescent="0.25">
      <c r="A85" s="2" t="s">
        <v>282</v>
      </c>
      <c r="B85" s="2" t="s">
        <v>283</v>
      </c>
      <c r="C85" s="2" t="s">
        <v>284</v>
      </c>
      <c r="D85" s="4">
        <v>46057</v>
      </c>
      <c r="E85" s="2" t="s">
        <v>80</v>
      </c>
      <c r="F85" s="2" t="s">
        <v>42</v>
      </c>
      <c r="G85" s="2" t="s">
        <v>81</v>
      </c>
      <c r="H85" s="2" t="s">
        <v>47</v>
      </c>
      <c r="I85" s="2">
        <v>6</v>
      </c>
      <c r="J85" s="5">
        <v>1213370</v>
      </c>
      <c r="K85" s="5">
        <v>15000</v>
      </c>
      <c r="L85" s="2" t="s">
        <v>35</v>
      </c>
      <c r="M85" s="2" t="s">
        <v>67</v>
      </c>
      <c r="N85" s="2" t="s">
        <v>37</v>
      </c>
    </row>
    <row r="86" spans="1:14" x14ac:dyDescent="0.25">
      <c r="A86" s="2" t="s">
        <v>285</v>
      </c>
      <c r="B86" s="2" t="s">
        <v>286</v>
      </c>
      <c r="C86" s="2" t="s">
        <v>45</v>
      </c>
      <c r="D86" s="4">
        <v>46123</v>
      </c>
      <c r="E86" s="2" t="s">
        <v>53</v>
      </c>
      <c r="F86" s="2" t="s">
        <v>42</v>
      </c>
      <c r="G86" s="2" t="s">
        <v>81</v>
      </c>
      <c r="H86" s="2" t="s">
        <v>47</v>
      </c>
      <c r="I86" s="2">
        <v>2</v>
      </c>
      <c r="J86" s="5">
        <v>1702594</v>
      </c>
      <c r="K86" s="5">
        <v>50000</v>
      </c>
      <c r="L86" s="2" t="s">
        <v>35</v>
      </c>
      <c r="M86" s="2" t="s">
        <v>67</v>
      </c>
      <c r="N86" s="2" t="s">
        <v>61</v>
      </c>
    </row>
    <row r="87" spans="1:14" x14ac:dyDescent="0.25">
      <c r="A87" s="2" t="s">
        <v>287</v>
      </c>
      <c r="B87" s="2" t="s">
        <v>143</v>
      </c>
      <c r="C87" s="2" t="s">
        <v>144</v>
      </c>
      <c r="D87" s="4">
        <v>46202</v>
      </c>
      <c r="E87" s="2" t="s">
        <v>31</v>
      </c>
      <c r="F87" s="2" t="s">
        <v>65</v>
      </c>
      <c r="G87" s="2" t="s">
        <v>33</v>
      </c>
      <c r="H87" s="2" t="s">
        <v>34</v>
      </c>
      <c r="I87" s="2">
        <v>4</v>
      </c>
      <c r="J87" s="5">
        <v>827813</v>
      </c>
      <c r="K87" s="5">
        <v>0</v>
      </c>
      <c r="L87" s="2" t="s">
        <v>35</v>
      </c>
      <c r="M87" s="2" t="s">
        <v>36</v>
      </c>
      <c r="N87" s="2" t="s">
        <v>61</v>
      </c>
    </row>
    <row r="88" spans="1:14" x14ac:dyDescent="0.25">
      <c r="A88" s="2" t="s">
        <v>288</v>
      </c>
      <c r="B88" s="2" t="s">
        <v>194</v>
      </c>
      <c r="C88" s="2" t="s">
        <v>195</v>
      </c>
      <c r="D88" s="4">
        <v>46157</v>
      </c>
      <c r="E88" s="2" t="s">
        <v>31</v>
      </c>
      <c r="F88" s="2" t="s">
        <v>42</v>
      </c>
      <c r="G88" s="2" t="s">
        <v>33</v>
      </c>
      <c r="H88" s="2" t="s">
        <v>66</v>
      </c>
      <c r="I88" s="2">
        <v>7</v>
      </c>
      <c r="J88" s="5">
        <v>1945188</v>
      </c>
      <c r="K88" s="5">
        <v>35000</v>
      </c>
      <c r="L88" s="2" t="s">
        <v>35</v>
      </c>
      <c r="M88" s="2" t="s">
        <v>67</v>
      </c>
      <c r="N88" s="2" t="s">
        <v>37</v>
      </c>
    </row>
    <row r="89" spans="1:14" x14ac:dyDescent="0.25">
      <c r="A89" s="2" t="s">
        <v>289</v>
      </c>
      <c r="B89" s="2" t="s">
        <v>290</v>
      </c>
      <c r="C89" s="2" t="s">
        <v>104</v>
      </c>
      <c r="D89" s="4">
        <v>46056</v>
      </c>
      <c r="E89" s="2" t="s">
        <v>31</v>
      </c>
      <c r="F89" s="2" t="s">
        <v>59</v>
      </c>
      <c r="G89" s="2" t="s">
        <v>85</v>
      </c>
      <c r="H89" s="2" t="s">
        <v>47</v>
      </c>
      <c r="I89" s="2">
        <v>5</v>
      </c>
      <c r="J89" s="5">
        <v>1929039</v>
      </c>
      <c r="K89" s="5">
        <v>15000</v>
      </c>
      <c r="L89" s="2" t="s">
        <v>35</v>
      </c>
      <c r="M89" s="2" t="s">
        <v>71</v>
      </c>
      <c r="N89" s="2" t="s">
        <v>61</v>
      </c>
    </row>
    <row r="90" spans="1:14" x14ac:dyDescent="0.25">
      <c r="A90" s="2" t="s">
        <v>291</v>
      </c>
      <c r="B90" s="2" t="s">
        <v>292</v>
      </c>
      <c r="C90" s="2" t="s">
        <v>152</v>
      </c>
      <c r="D90" s="4">
        <v>46097</v>
      </c>
      <c r="E90" s="2" t="s">
        <v>53</v>
      </c>
      <c r="F90" s="2" t="s">
        <v>59</v>
      </c>
      <c r="G90" s="2" t="s">
        <v>81</v>
      </c>
      <c r="H90" s="2" t="s">
        <v>54</v>
      </c>
      <c r="I90" s="2">
        <v>5</v>
      </c>
      <c r="J90" s="5">
        <v>1218066</v>
      </c>
      <c r="K90" s="5">
        <v>15000</v>
      </c>
      <c r="L90" s="2" t="s">
        <v>35</v>
      </c>
      <c r="M90" s="2" t="s">
        <v>67</v>
      </c>
      <c r="N90" s="2" t="s">
        <v>37</v>
      </c>
    </row>
    <row r="91" spans="1:14" x14ac:dyDescent="0.25">
      <c r="A91" s="2" t="s">
        <v>293</v>
      </c>
      <c r="B91" s="2" t="s">
        <v>256</v>
      </c>
      <c r="C91" s="2" t="s">
        <v>294</v>
      </c>
      <c r="D91" s="4">
        <v>46105</v>
      </c>
      <c r="E91" s="2" t="s">
        <v>53</v>
      </c>
      <c r="F91" s="2" t="s">
        <v>32</v>
      </c>
      <c r="G91" s="2" t="s">
        <v>81</v>
      </c>
      <c r="H91" s="2" t="s">
        <v>54</v>
      </c>
      <c r="I91" s="2">
        <v>6</v>
      </c>
      <c r="J91" s="5">
        <v>1787465</v>
      </c>
      <c r="K91" s="5">
        <v>15000</v>
      </c>
      <c r="L91" s="2" t="s">
        <v>35</v>
      </c>
      <c r="M91" s="2" t="s">
        <v>36</v>
      </c>
      <c r="N91" s="2" t="s">
        <v>61</v>
      </c>
    </row>
    <row r="92" spans="1:14" x14ac:dyDescent="0.25">
      <c r="A92" s="2" t="s">
        <v>295</v>
      </c>
      <c r="B92" s="2" t="s">
        <v>296</v>
      </c>
      <c r="C92" s="2" t="s">
        <v>144</v>
      </c>
      <c r="D92" s="4">
        <v>46108</v>
      </c>
      <c r="E92" s="2" t="s">
        <v>53</v>
      </c>
      <c r="F92" s="2" t="s">
        <v>65</v>
      </c>
      <c r="G92" s="2" t="s">
        <v>81</v>
      </c>
      <c r="H92" s="2" t="s">
        <v>66</v>
      </c>
      <c r="I92" s="2">
        <v>3</v>
      </c>
      <c r="J92" s="5">
        <v>1104996</v>
      </c>
      <c r="K92" s="5">
        <v>35000</v>
      </c>
      <c r="L92" s="2" t="s">
        <v>89</v>
      </c>
      <c r="M92" s="2" t="s">
        <v>49</v>
      </c>
      <c r="N92" s="2" t="s">
        <v>37</v>
      </c>
    </row>
    <row r="93" spans="1:14" x14ac:dyDescent="0.25">
      <c r="A93" s="2" t="s">
        <v>297</v>
      </c>
      <c r="B93" s="2" t="s">
        <v>298</v>
      </c>
      <c r="C93" s="2" t="s">
        <v>88</v>
      </c>
      <c r="D93" s="4">
        <v>46124</v>
      </c>
      <c r="E93" s="2" t="s">
        <v>31</v>
      </c>
      <c r="F93" s="2" t="s">
        <v>59</v>
      </c>
      <c r="G93" s="2" t="s">
        <v>33</v>
      </c>
      <c r="H93" s="2" t="s">
        <v>47</v>
      </c>
      <c r="I93" s="2">
        <v>5</v>
      </c>
      <c r="J93" s="5">
        <v>1675672</v>
      </c>
      <c r="K93" s="5">
        <v>15000</v>
      </c>
      <c r="L93" s="2" t="s">
        <v>35</v>
      </c>
      <c r="M93" s="2"/>
      <c r="N93" s="2" t="s">
        <v>61</v>
      </c>
    </row>
    <row r="94" spans="1:14" x14ac:dyDescent="0.25">
      <c r="A94" s="2" t="s">
        <v>299</v>
      </c>
      <c r="B94" s="2" t="s">
        <v>300</v>
      </c>
      <c r="C94" s="2" t="s">
        <v>107</v>
      </c>
      <c r="D94" s="4">
        <v>46104</v>
      </c>
      <c r="E94" s="2" t="s">
        <v>31</v>
      </c>
      <c r="F94" s="2" t="s">
        <v>59</v>
      </c>
      <c r="G94" s="2" t="s">
        <v>33</v>
      </c>
      <c r="H94" s="2" t="s">
        <v>66</v>
      </c>
      <c r="I94" s="2">
        <v>2</v>
      </c>
      <c r="J94" s="5">
        <v>2344758</v>
      </c>
      <c r="K94" s="5">
        <v>35000</v>
      </c>
      <c r="L94" s="2" t="s">
        <v>35</v>
      </c>
      <c r="M94" s="2" t="s">
        <v>67</v>
      </c>
      <c r="N94" s="2" t="s">
        <v>37</v>
      </c>
    </row>
    <row r="95" spans="1:14" x14ac:dyDescent="0.25">
      <c r="A95" s="2" t="s">
        <v>301</v>
      </c>
      <c r="B95" s="2" t="s">
        <v>302</v>
      </c>
      <c r="C95" s="2" t="s">
        <v>111</v>
      </c>
      <c r="D95" s="2" t="s">
        <v>303</v>
      </c>
      <c r="E95" s="2" t="s">
        <v>41</v>
      </c>
      <c r="F95" s="2" t="s">
        <v>42</v>
      </c>
      <c r="G95" s="2" t="s">
        <v>46</v>
      </c>
      <c r="H95" s="2" t="s">
        <v>47</v>
      </c>
      <c r="I95" s="2">
        <v>3</v>
      </c>
      <c r="J95" s="5">
        <v>1226280</v>
      </c>
      <c r="K95" s="5">
        <v>50000</v>
      </c>
      <c r="L95" s="2" t="s">
        <v>35</v>
      </c>
      <c r="M95" s="2" t="s">
        <v>67</v>
      </c>
      <c r="N95" s="2" t="s">
        <v>61</v>
      </c>
    </row>
    <row r="96" spans="1:14" x14ac:dyDescent="0.25">
      <c r="A96" s="2" t="s">
        <v>304</v>
      </c>
      <c r="B96" s="2" t="s">
        <v>305</v>
      </c>
      <c r="C96" s="2" t="s">
        <v>176</v>
      </c>
      <c r="D96" s="4">
        <v>46061</v>
      </c>
      <c r="E96" s="2" t="s">
        <v>41</v>
      </c>
      <c r="F96" s="2" t="s">
        <v>59</v>
      </c>
      <c r="G96" s="2" t="s">
        <v>81</v>
      </c>
      <c r="H96" s="2" t="s">
        <v>47</v>
      </c>
      <c r="I96" s="2">
        <v>2</v>
      </c>
      <c r="J96" s="5">
        <v>348871</v>
      </c>
      <c r="K96" s="5">
        <v>15000</v>
      </c>
      <c r="L96" s="2" t="s">
        <v>35</v>
      </c>
      <c r="M96" s="2" t="s">
        <v>67</v>
      </c>
      <c r="N96" s="2" t="s">
        <v>61</v>
      </c>
    </row>
    <row r="97" spans="1:14" x14ac:dyDescent="0.25">
      <c r="A97" s="2" t="s">
        <v>306</v>
      </c>
      <c r="B97" s="2" t="s">
        <v>216</v>
      </c>
      <c r="C97" s="2" t="s">
        <v>133</v>
      </c>
      <c r="D97" s="4">
        <v>46114</v>
      </c>
      <c r="E97" s="2" t="s">
        <v>31</v>
      </c>
      <c r="F97" s="2" t="s">
        <v>65</v>
      </c>
      <c r="G97" s="2" t="s">
        <v>33</v>
      </c>
      <c r="H97" s="2" t="s">
        <v>54</v>
      </c>
      <c r="I97" s="2">
        <v>4</v>
      </c>
      <c r="J97" s="5">
        <v>2472394</v>
      </c>
      <c r="K97" s="5">
        <v>35000</v>
      </c>
      <c r="L97" s="2" t="s">
        <v>35</v>
      </c>
      <c r="M97" s="2" t="s">
        <v>71</v>
      </c>
      <c r="N97" s="2" t="s">
        <v>61</v>
      </c>
    </row>
    <row r="98" spans="1:14" x14ac:dyDescent="0.25">
      <c r="A98" s="2" t="s">
        <v>307</v>
      </c>
      <c r="B98" s="2" t="s">
        <v>308</v>
      </c>
      <c r="C98" s="2" t="s">
        <v>309</v>
      </c>
      <c r="D98" s="4">
        <v>46095</v>
      </c>
      <c r="E98" s="2" t="s">
        <v>53</v>
      </c>
      <c r="F98" s="2" t="s">
        <v>42</v>
      </c>
      <c r="G98" s="2" t="s">
        <v>46</v>
      </c>
      <c r="H98" s="2" t="s">
        <v>54</v>
      </c>
      <c r="I98" s="2">
        <v>6</v>
      </c>
      <c r="J98" s="5">
        <v>877721</v>
      </c>
      <c r="K98" s="5">
        <v>15000</v>
      </c>
      <c r="L98" s="2" t="s">
        <v>35</v>
      </c>
      <c r="M98" s="2" t="s">
        <v>67</v>
      </c>
      <c r="N98" s="2" t="s">
        <v>61</v>
      </c>
    </row>
    <row r="99" spans="1:14" x14ac:dyDescent="0.25">
      <c r="A99" s="2" t="s">
        <v>310</v>
      </c>
      <c r="B99" s="2" t="s">
        <v>311</v>
      </c>
      <c r="C99" s="2" t="s">
        <v>312</v>
      </c>
      <c r="D99" s="4">
        <v>46042</v>
      </c>
      <c r="E99" s="2" t="s">
        <v>80</v>
      </c>
      <c r="F99" s="2" t="s">
        <v>65</v>
      </c>
      <c r="G99" s="2" t="s">
        <v>60</v>
      </c>
      <c r="H99" s="2" t="s">
        <v>66</v>
      </c>
      <c r="I99" s="2">
        <v>6</v>
      </c>
      <c r="J99" s="5">
        <v>1152459</v>
      </c>
      <c r="K99" s="5">
        <v>35000</v>
      </c>
      <c r="L99" s="2" t="s">
        <v>35</v>
      </c>
      <c r="M99" s="2" t="s">
        <v>67</v>
      </c>
      <c r="N99" s="2" t="s">
        <v>61</v>
      </c>
    </row>
    <row r="100" spans="1:14" x14ac:dyDescent="0.25">
      <c r="A100" s="2" t="s">
        <v>313</v>
      </c>
      <c r="B100" s="2" t="s">
        <v>314</v>
      </c>
      <c r="C100" s="2" t="s">
        <v>84</v>
      </c>
      <c r="D100" s="4">
        <v>46105</v>
      </c>
      <c r="E100" s="2" t="s">
        <v>41</v>
      </c>
      <c r="F100" s="2" t="s">
        <v>59</v>
      </c>
      <c r="G100" s="2" t="s">
        <v>75</v>
      </c>
      <c r="H100" s="2" t="s">
        <v>66</v>
      </c>
      <c r="I100" s="2">
        <v>1</v>
      </c>
      <c r="J100" s="5">
        <v>764981</v>
      </c>
      <c r="K100" s="5">
        <v>0</v>
      </c>
      <c r="L100" s="2" t="s">
        <v>35</v>
      </c>
      <c r="M100" s="2" t="s">
        <v>36</v>
      </c>
      <c r="N100" s="2" t="s">
        <v>61</v>
      </c>
    </row>
    <row r="101" spans="1:14" x14ac:dyDescent="0.25">
      <c r="A101" s="2" t="s">
        <v>315</v>
      </c>
      <c r="B101" s="2" t="s">
        <v>316</v>
      </c>
      <c r="C101" s="2" t="s">
        <v>224</v>
      </c>
      <c r="D101" s="4">
        <v>46034</v>
      </c>
      <c r="E101" s="2" t="s">
        <v>31</v>
      </c>
      <c r="F101" s="2" t="s">
        <v>42</v>
      </c>
      <c r="G101" s="2" t="s">
        <v>81</v>
      </c>
      <c r="H101" s="2" t="s">
        <v>66</v>
      </c>
      <c r="I101" s="2">
        <v>6</v>
      </c>
      <c r="J101" s="5">
        <v>2020447</v>
      </c>
      <c r="K101" s="5">
        <v>25000</v>
      </c>
      <c r="L101" s="2" t="s">
        <v>89</v>
      </c>
      <c r="M101" s="2" t="s">
        <v>49</v>
      </c>
      <c r="N101" s="2" t="s">
        <v>37</v>
      </c>
    </row>
    <row r="102" spans="1:14" x14ac:dyDescent="0.25">
      <c r="A102" s="2" t="s">
        <v>317</v>
      </c>
      <c r="B102" s="2" t="s">
        <v>318</v>
      </c>
      <c r="C102" s="2" t="s">
        <v>45</v>
      </c>
      <c r="D102" s="4">
        <v>46037</v>
      </c>
      <c r="E102" s="2" t="s">
        <v>31</v>
      </c>
      <c r="F102" s="2" t="s">
        <v>42</v>
      </c>
      <c r="G102" s="2" t="s">
        <v>60</v>
      </c>
      <c r="H102" s="2" t="s">
        <v>54</v>
      </c>
      <c r="I102" s="2"/>
      <c r="J102" s="5">
        <v>416638</v>
      </c>
      <c r="K102" s="5">
        <v>50000</v>
      </c>
      <c r="L102" s="2" t="s">
        <v>35</v>
      </c>
      <c r="M102" s="2" t="s">
        <v>319</v>
      </c>
      <c r="N102" s="2" t="s">
        <v>61</v>
      </c>
    </row>
    <row r="103" spans="1:14" x14ac:dyDescent="0.25">
      <c r="A103" s="2" t="s">
        <v>320</v>
      </c>
      <c r="B103" s="2" t="s">
        <v>321</v>
      </c>
      <c r="C103" s="2" t="s">
        <v>92</v>
      </c>
      <c r="D103" s="4">
        <v>46076</v>
      </c>
      <c r="E103" s="2" t="s">
        <v>31</v>
      </c>
      <c r="F103" s="2" t="s">
        <v>65</v>
      </c>
      <c r="G103" s="2" t="s">
        <v>33</v>
      </c>
      <c r="H103" s="2" t="s">
        <v>47</v>
      </c>
      <c r="I103" s="2">
        <v>7</v>
      </c>
      <c r="J103" s="5">
        <v>803422</v>
      </c>
      <c r="K103" s="5">
        <v>35000</v>
      </c>
      <c r="L103" s="2" t="s">
        <v>35</v>
      </c>
      <c r="M103" s="2" t="s">
        <v>36</v>
      </c>
      <c r="N103" s="2" t="s">
        <v>37</v>
      </c>
    </row>
    <row r="104" spans="1:14" x14ac:dyDescent="0.25">
      <c r="A104" s="2" t="s">
        <v>322</v>
      </c>
      <c r="B104" s="2" t="s">
        <v>323</v>
      </c>
      <c r="C104" s="2" t="s">
        <v>263</v>
      </c>
      <c r="D104" s="4">
        <v>46102</v>
      </c>
      <c r="E104" s="2" t="s">
        <v>31</v>
      </c>
      <c r="F104" s="2" t="s">
        <v>59</v>
      </c>
      <c r="G104" s="2" t="s">
        <v>60</v>
      </c>
      <c r="H104" s="2" t="s">
        <v>47</v>
      </c>
      <c r="I104" s="2">
        <v>6</v>
      </c>
      <c r="J104" s="5">
        <v>670656</v>
      </c>
      <c r="K104" s="5">
        <v>25000</v>
      </c>
      <c r="L104" s="2" t="s">
        <v>35</v>
      </c>
      <c r="M104" s="2" t="s">
        <v>36</v>
      </c>
      <c r="N104" s="2" t="s">
        <v>37</v>
      </c>
    </row>
    <row r="105" spans="1:14" x14ac:dyDescent="0.25">
      <c r="A105" s="2" t="s">
        <v>324</v>
      </c>
      <c r="B105" s="2" t="s">
        <v>325</v>
      </c>
      <c r="C105" s="2" t="s">
        <v>158</v>
      </c>
      <c r="D105" s="4">
        <v>46167</v>
      </c>
      <c r="E105" s="2" t="s">
        <v>31</v>
      </c>
      <c r="F105" s="2" t="s">
        <v>59</v>
      </c>
      <c r="G105" s="2" t="s">
        <v>75</v>
      </c>
      <c r="H105" s="2" t="s">
        <v>47</v>
      </c>
      <c r="I105" s="2">
        <v>7</v>
      </c>
      <c r="J105" s="5">
        <v>1894486</v>
      </c>
      <c r="K105" s="5">
        <v>0</v>
      </c>
      <c r="L105" s="2" t="s">
        <v>35</v>
      </c>
      <c r="M105" s="2" t="s">
        <v>36</v>
      </c>
      <c r="N105" s="2" t="s">
        <v>61</v>
      </c>
    </row>
    <row r="106" spans="1:14" x14ac:dyDescent="0.25">
      <c r="A106" s="2" t="s">
        <v>326</v>
      </c>
      <c r="B106" s="2" t="s">
        <v>327</v>
      </c>
      <c r="C106" s="2" t="s">
        <v>328</v>
      </c>
      <c r="D106" s="4">
        <v>46154</v>
      </c>
      <c r="E106" s="2" t="s">
        <v>31</v>
      </c>
      <c r="F106" s="2" t="s">
        <v>59</v>
      </c>
      <c r="G106" s="2" t="s">
        <v>46</v>
      </c>
      <c r="H106" s="2" t="s">
        <v>76</v>
      </c>
      <c r="I106" s="2">
        <v>6</v>
      </c>
      <c r="J106" s="5">
        <v>1553381</v>
      </c>
      <c r="K106" s="5">
        <v>35000</v>
      </c>
      <c r="L106" s="2" t="s">
        <v>35</v>
      </c>
      <c r="M106" s="2" t="s">
        <v>36</v>
      </c>
      <c r="N106" s="2" t="s">
        <v>61</v>
      </c>
    </row>
    <row r="107" spans="1:14" x14ac:dyDescent="0.25">
      <c r="A107" s="2" t="s">
        <v>329</v>
      </c>
      <c r="B107" s="2" t="s">
        <v>330</v>
      </c>
      <c r="C107" s="2" t="s">
        <v>98</v>
      </c>
      <c r="D107" s="4">
        <v>46142</v>
      </c>
      <c r="E107" s="2" t="s">
        <v>331</v>
      </c>
      <c r="F107" s="2" t="s">
        <v>32</v>
      </c>
      <c r="G107" s="2" t="s">
        <v>85</v>
      </c>
      <c r="H107" s="2" t="s">
        <v>76</v>
      </c>
      <c r="I107" s="2">
        <v>7</v>
      </c>
      <c r="J107" s="5">
        <v>1954402</v>
      </c>
      <c r="K107" s="5">
        <v>0</v>
      </c>
      <c r="L107" s="2" t="s">
        <v>177</v>
      </c>
      <c r="M107" s="2" t="s">
        <v>67</v>
      </c>
      <c r="N107" s="2" t="s">
        <v>37</v>
      </c>
    </row>
    <row r="108" spans="1:14" x14ac:dyDescent="0.25">
      <c r="A108" s="2" t="s">
        <v>332</v>
      </c>
      <c r="B108" s="2" t="s">
        <v>333</v>
      </c>
      <c r="C108" s="2" t="s">
        <v>334</v>
      </c>
      <c r="D108" s="4">
        <v>46168</v>
      </c>
      <c r="E108" s="2" t="s">
        <v>53</v>
      </c>
      <c r="F108" s="2" t="s">
        <v>59</v>
      </c>
      <c r="G108" s="2" t="s">
        <v>60</v>
      </c>
      <c r="H108" s="2" t="s">
        <v>54</v>
      </c>
      <c r="I108" s="2">
        <v>1</v>
      </c>
      <c r="J108" s="5">
        <v>320186</v>
      </c>
      <c r="K108" s="5">
        <v>50000</v>
      </c>
      <c r="L108" s="2" t="s">
        <v>245</v>
      </c>
      <c r="M108" s="2" t="s">
        <v>36</v>
      </c>
      <c r="N108" s="2" t="s">
        <v>37</v>
      </c>
    </row>
    <row r="109" spans="1:14" x14ac:dyDescent="0.25">
      <c r="A109" s="2" t="s">
        <v>335</v>
      </c>
      <c r="B109" s="2" t="s">
        <v>336</v>
      </c>
      <c r="C109" s="2" t="s">
        <v>253</v>
      </c>
      <c r="D109" s="4">
        <v>46168</v>
      </c>
      <c r="E109" s="2" t="s">
        <v>58</v>
      </c>
      <c r="F109" s="2" t="s">
        <v>65</v>
      </c>
      <c r="G109" s="2" t="s">
        <v>75</v>
      </c>
      <c r="H109" s="2" t="s">
        <v>337</v>
      </c>
      <c r="I109" s="2">
        <v>3</v>
      </c>
      <c r="J109" s="5">
        <v>1182754</v>
      </c>
      <c r="K109" s="5">
        <v>25000</v>
      </c>
      <c r="L109" s="2" t="s">
        <v>35</v>
      </c>
      <c r="M109" s="2" t="s">
        <v>338</v>
      </c>
      <c r="N109" s="2" t="s">
        <v>61</v>
      </c>
    </row>
    <row r="110" spans="1:14" x14ac:dyDescent="0.25">
      <c r="A110" s="2" t="s">
        <v>339</v>
      </c>
      <c r="B110" s="2" t="s">
        <v>78</v>
      </c>
      <c r="C110" s="2" t="s">
        <v>79</v>
      </c>
      <c r="D110" s="4">
        <v>46069</v>
      </c>
      <c r="E110" s="2" t="s">
        <v>80</v>
      </c>
      <c r="F110" s="2" t="s">
        <v>59</v>
      </c>
      <c r="G110" s="2" t="s">
        <v>75</v>
      </c>
      <c r="H110" s="2" t="s">
        <v>47</v>
      </c>
      <c r="I110" s="2">
        <v>1</v>
      </c>
      <c r="J110" s="5">
        <v>1768182</v>
      </c>
      <c r="K110" s="5">
        <v>0</v>
      </c>
      <c r="L110" s="2" t="s">
        <v>35</v>
      </c>
      <c r="M110" s="2" t="s">
        <v>36</v>
      </c>
      <c r="N110" s="2" t="s">
        <v>37</v>
      </c>
    </row>
    <row r="111" spans="1:14" x14ac:dyDescent="0.25">
      <c r="A111" s="2" t="s">
        <v>340</v>
      </c>
      <c r="B111" s="2" t="s">
        <v>341</v>
      </c>
      <c r="C111" s="2" t="s">
        <v>342</v>
      </c>
      <c r="D111" s="4">
        <v>46070</v>
      </c>
      <c r="E111" s="2" t="s">
        <v>58</v>
      </c>
      <c r="F111" s="2" t="s">
        <v>59</v>
      </c>
      <c r="G111" s="2" t="s">
        <v>46</v>
      </c>
      <c r="H111" s="2" t="s">
        <v>54</v>
      </c>
      <c r="I111" s="2">
        <v>1</v>
      </c>
      <c r="J111" s="5">
        <v>1005284</v>
      </c>
      <c r="K111" s="5">
        <v>15000</v>
      </c>
      <c r="L111" s="2" t="s">
        <v>35</v>
      </c>
      <c r="M111" s="2" t="s">
        <v>36</v>
      </c>
      <c r="N111" s="2" t="s">
        <v>61</v>
      </c>
    </row>
    <row r="112" spans="1:14" x14ac:dyDescent="0.25">
      <c r="A112" s="2" t="s">
        <v>343</v>
      </c>
      <c r="B112" s="2" t="s">
        <v>344</v>
      </c>
      <c r="C112" s="2" t="s">
        <v>119</v>
      </c>
      <c r="D112" s="4">
        <v>46052</v>
      </c>
      <c r="E112" s="2" t="s">
        <v>53</v>
      </c>
      <c r="F112" s="2" t="s">
        <v>59</v>
      </c>
      <c r="G112" s="2" t="s">
        <v>33</v>
      </c>
      <c r="H112" s="2" t="s">
        <v>76</v>
      </c>
      <c r="I112" s="2">
        <v>6</v>
      </c>
      <c r="J112" s="5">
        <v>175803</v>
      </c>
      <c r="K112" s="5">
        <v>15000</v>
      </c>
      <c r="L112" s="2" t="s">
        <v>35</v>
      </c>
      <c r="M112" s="2" t="s">
        <v>36</v>
      </c>
      <c r="N112" s="2" t="s">
        <v>37</v>
      </c>
    </row>
    <row r="113" spans="1:14" x14ac:dyDescent="0.25">
      <c r="A113" s="2" t="s">
        <v>345</v>
      </c>
      <c r="B113" s="2" t="s">
        <v>118</v>
      </c>
      <c r="C113" s="2" t="s">
        <v>119</v>
      </c>
      <c r="D113" s="4">
        <v>46195</v>
      </c>
      <c r="E113" s="2" t="s">
        <v>58</v>
      </c>
      <c r="F113" s="2" t="s">
        <v>65</v>
      </c>
      <c r="G113" s="2" t="s">
        <v>75</v>
      </c>
      <c r="H113" s="2" t="s">
        <v>34</v>
      </c>
      <c r="I113" s="2">
        <v>1</v>
      </c>
      <c r="J113" s="5">
        <v>1776738</v>
      </c>
      <c r="K113" s="5">
        <v>25000</v>
      </c>
      <c r="L113" s="2" t="s">
        <v>35</v>
      </c>
      <c r="M113" s="2" t="s">
        <v>67</v>
      </c>
      <c r="N113" s="2" t="s">
        <v>61</v>
      </c>
    </row>
    <row r="114" spans="1:14" x14ac:dyDescent="0.25">
      <c r="A114" s="2" t="s">
        <v>346</v>
      </c>
      <c r="B114" s="2" t="s">
        <v>347</v>
      </c>
      <c r="C114" s="2" t="s">
        <v>276</v>
      </c>
      <c r="D114" s="4">
        <v>46146</v>
      </c>
      <c r="E114" s="2" t="s">
        <v>348</v>
      </c>
      <c r="F114" s="2" t="s">
        <v>32</v>
      </c>
      <c r="G114" s="2" t="s">
        <v>60</v>
      </c>
      <c r="H114" s="2" t="s">
        <v>34</v>
      </c>
      <c r="I114" s="2">
        <v>4</v>
      </c>
      <c r="J114" s="5">
        <v>728820</v>
      </c>
      <c r="K114" s="5">
        <v>15000</v>
      </c>
      <c r="L114" s="2" t="s">
        <v>349</v>
      </c>
      <c r="M114" s="2" t="s">
        <v>71</v>
      </c>
      <c r="N114" s="2" t="s">
        <v>37</v>
      </c>
    </row>
    <row r="115" spans="1:14" x14ac:dyDescent="0.25">
      <c r="A115" s="2" t="s">
        <v>350</v>
      </c>
      <c r="B115" s="2" t="s">
        <v>169</v>
      </c>
      <c r="C115" s="2" t="s">
        <v>170</v>
      </c>
      <c r="D115" s="4">
        <v>46028</v>
      </c>
      <c r="E115" s="2" t="s">
        <v>41</v>
      </c>
      <c r="F115" s="2" t="s">
        <v>59</v>
      </c>
      <c r="G115" s="2" t="s">
        <v>351</v>
      </c>
      <c r="H115" s="2" t="s">
        <v>47</v>
      </c>
      <c r="I115" s="2">
        <v>2</v>
      </c>
      <c r="J115" s="5">
        <v>608463</v>
      </c>
      <c r="K115" s="5">
        <v>15000</v>
      </c>
      <c r="L115" s="2" t="s">
        <v>35</v>
      </c>
      <c r="M115" s="2" t="s">
        <v>36</v>
      </c>
      <c r="N115" s="2" t="s">
        <v>61</v>
      </c>
    </row>
    <row r="116" spans="1:14" x14ac:dyDescent="0.25">
      <c r="A116" s="2" t="s">
        <v>352</v>
      </c>
      <c r="B116" s="2" t="s">
        <v>240</v>
      </c>
      <c r="C116" s="2" t="s">
        <v>241</v>
      </c>
      <c r="D116" s="4">
        <v>46098</v>
      </c>
      <c r="E116" s="2" t="s">
        <v>41</v>
      </c>
      <c r="F116" s="2" t="s">
        <v>59</v>
      </c>
      <c r="G116" s="2" t="s">
        <v>60</v>
      </c>
      <c r="H116" s="2" t="s">
        <v>353</v>
      </c>
      <c r="I116" s="2">
        <v>3</v>
      </c>
      <c r="J116" s="5">
        <v>1763048</v>
      </c>
      <c r="K116" s="5">
        <v>0</v>
      </c>
      <c r="L116" s="2" t="s">
        <v>35</v>
      </c>
      <c r="M116" s="2" t="s">
        <v>36</v>
      </c>
      <c r="N116" s="2" t="s">
        <v>37</v>
      </c>
    </row>
    <row r="117" spans="1:14" x14ac:dyDescent="0.25">
      <c r="A117" s="2" t="s">
        <v>354</v>
      </c>
      <c r="B117" s="2" t="s">
        <v>355</v>
      </c>
      <c r="C117" s="2" t="s">
        <v>266</v>
      </c>
      <c r="D117" s="4">
        <v>46147</v>
      </c>
      <c r="E117" s="2" t="s">
        <v>41</v>
      </c>
      <c r="F117" s="2" t="s">
        <v>42</v>
      </c>
      <c r="G117" s="2" t="s">
        <v>75</v>
      </c>
      <c r="H117" s="2" t="s">
        <v>54</v>
      </c>
      <c r="I117" s="2">
        <v>5</v>
      </c>
      <c r="J117" s="5">
        <v>1796380</v>
      </c>
      <c r="K117" s="5">
        <v>35000</v>
      </c>
      <c r="L117" s="2" t="s">
        <v>35</v>
      </c>
      <c r="M117" s="2" t="s">
        <v>36</v>
      </c>
      <c r="N117" s="2" t="s">
        <v>61</v>
      </c>
    </row>
    <row r="118" spans="1:14" x14ac:dyDescent="0.25">
      <c r="A118" s="2" t="s">
        <v>356</v>
      </c>
      <c r="B118" s="2" t="s">
        <v>169</v>
      </c>
      <c r="C118" s="2" t="s">
        <v>170</v>
      </c>
      <c r="D118" s="4">
        <v>46170</v>
      </c>
      <c r="E118" s="2" t="s">
        <v>41</v>
      </c>
      <c r="F118" s="2" t="s">
        <v>65</v>
      </c>
      <c r="G118" s="2" t="s">
        <v>60</v>
      </c>
      <c r="H118" s="2" t="s">
        <v>76</v>
      </c>
      <c r="I118" s="2">
        <v>1</v>
      </c>
      <c r="J118" s="5">
        <v>1444771</v>
      </c>
      <c r="K118" s="5">
        <v>50000</v>
      </c>
      <c r="L118" s="2" t="s">
        <v>35</v>
      </c>
      <c r="M118" s="2" t="s">
        <v>36</v>
      </c>
      <c r="N118" s="2" t="s">
        <v>37</v>
      </c>
    </row>
    <row r="119" spans="1:14" x14ac:dyDescent="0.25">
      <c r="A119" s="2" t="s">
        <v>357</v>
      </c>
      <c r="B119" s="2" t="s">
        <v>113</v>
      </c>
      <c r="C119" s="2" t="s">
        <v>114</v>
      </c>
      <c r="D119" s="2" t="s">
        <v>358</v>
      </c>
      <c r="E119" s="2" t="s">
        <v>80</v>
      </c>
      <c r="F119" s="2" t="s">
        <v>214</v>
      </c>
      <c r="G119" s="2" t="s">
        <v>85</v>
      </c>
      <c r="H119" s="2" t="s">
        <v>76</v>
      </c>
      <c r="I119" s="2">
        <v>2</v>
      </c>
      <c r="J119" s="5">
        <v>1949681</v>
      </c>
      <c r="K119" s="5">
        <v>0</v>
      </c>
      <c r="L119" s="2" t="s">
        <v>35</v>
      </c>
      <c r="M119" s="2" t="s">
        <v>67</v>
      </c>
      <c r="N119" s="2" t="s">
        <v>61</v>
      </c>
    </row>
    <row r="120" spans="1:14" x14ac:dyDescent="0.25">
      <c r="A120" s="2" t="s">
        <v>359</v>
      </c>
      <c r="B120" s="2" t="s">
        <v>228</v>
      </c>
      <c r="C120" s="2" t="s">
        <v>229</v>
      </c>
      <c r="D120" s="4">
        <v>46198</v>
      </c>
      <c r="E120" s="2" t="s">
        <v>80</v>
      </c>
      <c r="F120" s="2" t="s">
        <v>59</v>
      </c>
      <c r="G120" s="2" t="s">
        <v>60</v>
      </c>
      <c r="H120" s="2" t="s">
        <v>66</v>
      </c>
      <c r="I120" s="2">
        <v>7</v>
      </c>
      <c r="J120" s="5">
        <v>1542510</v>
      </c>
      <c r="K120" s="5">
        <v>50000</v>
      </c>
      <c r="L120" s="2" t="s">
        <v>48</v>
      </c>
      <c r="M120" s="2" t="s">
        <v>36</v>
      </c>
      <c r="N120" s="2" t="s">
        <v>37</v>
      </c>
    </row>
    <row r="121" spans="1:14" x14ac:dyDescent="0.25">
      <c r="A121" s="2" t="s">
        <v>360</v>
      </c>
      <c r="B121" s="2" t="s">
        <v>318</v>
      </c>
      <c r="C121" s="2" t="s">
        <v>45</v>
      </c>
      <c r="D121" s="4">
        <v>46064</v>
      </c>
      <c r="E121" s="2" t="s">
        <v>31</v>
      </c>
      <c r="F121" s="2" t="s">
        <v>42</v>
      </c>
      <c r="G121" s="2" t="s">
        <v>85</v>
      </c>
      <c r="H121" s="2" t="s">
        <v>34</v>
      </c>
      <c r="I121" s="2">
        <v>6</v>
      </c>
      <c r="J121" s="5" t="s">
        <v>361</v>
      </c>
      <c r="K121" s="5">
        <v>25000</v>
      </c>
      <c r="L121" s="2" t="s">
        <v>35</v>
      </c>
      <c r="M121" s="2" t="s">
        <v>36</v>
      </c>
      <c r="N121" s="2" t="s">
        <v>37</v>
      </c>
    </row>
    <row r="122" spans="1:14" x14ac:dyDescent="0.25">
      <c r="A122" s="2" t="s">
        <v>362</v>
      </c>
      <c r="B122" s="2" t="s">
        <v>207</v>
      </c>
      <c r="C122" s="2" t="s">
        <v>208</v>
      </c>
      <c r="D122" s="4">
        <v>46129</v>
      </c>
      <c r="E122" s="2" t="s">
        <v>58</v>
      </c>
      <c r="F122" s="2" t="s">
        <v>32</v>
      </c>
      <c r="G122" s="2" t="s">
        <v>147</v>
      </c>
      <c r="H122" s="2" t="s">
        <v>66</v>
      </c>
      <c r="I122" s="2">
        <v>2</v>
      </c>
      <c r="J122" s="5">
        <v>2190833</v>
      </c>
      <c r="K122" s="5">
        <v>25000</v>
      </c>
      <c r="L122" s="2" t="s">
        <v>35</v>
      </c>
      <c r="M122" s="2" t="s">
        <v>67</v>
      </c>
      <c r="N122" s="2" t="s">
        <v>61</v>
      </c>
    </row>
    <row r="123" spans="1:14" x14ac:dyDescent="0.25">
      <c r="A123" s="2" t="s">
        <v>363</v>
      </c>
      <c r="B123" s="2" t="s">
        <v>364</v>
      </c>
      <c r="C123" s="2" t="s">
        <v>70</v>
      </c>
      <c r="D123" s="4">
        <v>46151</v>
      </c>
      <c r="E123" s="2" t="s">
        <v>58</v>
      </c>
      <c r="F123" s="2" t="s">
        <v>42</v>
      </c>
      <c r="G123" s="2" t="s">
        <v>60</v>
      </c>
      <c r="H123" s="2" t="s">
        <v>66</v>
      </c>
      <c r="I123" s="2">
        <v>3</v>
      </c>
      <c r="J123" s="5">
        <v>254091</v>
      </c>
      <c r="K123" s="5">
        <v>0</v>
      </c>
      <c r="L123" s="2" t="s">
        <v>35</v>
      </c>
      <c r="M123" s="2" t="s">
        <v>36</v>
      </c>
      <c r="N123" s="2" t="s">
        <v>37</v>
      </c>
    </row>
    <row r="124" spans="1:14" x14ac:dyDescent="0.25">
      <c r="A124" s="2" t="s">
        <v>365</v>
      </c>
      <c r="B124" s="2" t="s">
        <v>366</v>
      </c>
      <c r="C124" s="2" t="s">
        <v>266</v>
      </c>
      <c r="D124" s="4">
        <v>46113</v>
      </c>
      <c r="E124" s="2" t="s">
        <v>53</v>
      </c>
      <c r="F124" s="2" t="s">
        <v>65</v>
      </c>
      <c r="G124" s="2" t="s">
        <v>75</v>
      </c>
      <c r="H124" s="2" t="s">
        <v>54</v>
      </c>
      <c r="I124" s="2">
        <v>3</v>
      </c>
      <c r="J124" s="5">
        <v>315774</v>
      </c>
      <c r="K124" s="5">
        <v>50000</v>
      </c>
      <c r="L124" s="2" t="s">
        <v>48</v>
      </c>
      <c r="M124" s="2" t="s">
        <v>49</v>
      </c>
      <c r="N124" s="2" t="s">
        <v>37</v>
      </c>
    </row>
    <row r="125" spans="1:14" x14ac:dyDescent="0.25">
      <c r="A125" s="2" t="s">
        <v>367</v>
      </c>
      <c r="B125" s="2" t="s">
        <v>318</v>
      </c>
      <c r="C125" s="2" t="s">
        <v>45</v>
      </c>
      <c r="D125" s="4">
        <v>46140</v>
      </c>
      <c r="E125" s="2" t="s">
        <v>58</v>
      </c>
      <c r="F125" s="2" t="s">
        <v>65</v>
      </c>
      <c r="G125" s="2" t="s">
        <v>46</v>
      </c>
      <c r="H125" s="2" t="s">
        <v>54</v>
      </c>
      <c r="I125" s="2">
        <v>7</v>
      </c>
      <c r="J125" s="5">
        <v>585277</v>
      </c>
      <c r="K125" s="5">
        <v>0</v>
      </c>
      <c r="L125" s="2" t="s">
        <v>35</v>
      </c>
      <c r="M125" s="2" t="s">
        <v>71</v>
      </c>
      <c r="N125" s="2" t="s">
        <v>61</v>
      </c>
    </row>
    <row r="126" spans="1:14" x14ac:dyDescent="0.25">
      <c r="A126" s="2" t="s">
        <v>368</v>
      </c>
      <c r="B126" s="2" t="s">
        <v>369</v>
      </c>
      <c r="C126" s="2" t="s">
        <v>370</v>
      </c>
      <c r="D126" s="4">
        <v>46053</v>
      </c>
      <c r="E126" s="2" t="s">
        <v>53</v>
      </c>
      <c r="F126" s="2" t="s">
        <v>159</v>
      </c>
      <c r="G126" s="2" t="s">
        <v>75</v>
      </c>
      <c r="H126" s="2" t="s">
        <v>54</v>
      </c>
      <c r="I126" s="2">
        <v>2</v>
      </c>
      <c r="J126" s="5">
        <v>981452</v>
      </c>
      <c r="K126" s="5">
        <v>25000</v>
      </c>
      <c r="L126" s="2" t="s">
        <v>35</v>
      </c>
      <c r="M126" s="2" t="s">
        <v>36</v>
      </c>
      <c r="N126" s="2" t="s">
        <v>61</v>
      </c>
    </row>
    <row r="127" spans="1:14" x14ac:dyDescent="0.25">
      <c r="A127" s="2" t="s">
        <v>371</v>
      </c>
      <c r="B127" s="2" t="s">
        <v>372</v>
      </c>
      <c r="C127" s="2" t="s">
        <v>373</v>
      </c>
      <c r="D127" s="4">
        <v>46116</v>
      </c>
      <c r="E127" s="2" t="s">
        <v>58</v>
      </c>
      <c r="F127" s="2" t="s">
        <v>42</v>
      </c>
      <c r="G127" s="2" t="s">
        <v>60</v>
      </c>
      <c r="H127" s="2" t="s">
        <v>66</v>
      </c>
      <c r="I127" s="2">
        <v>1</v>
      </c>
      <c r="J127" s="5">
        <v>1523445</v>
      </c>
      <c r="K127" s="5">
        <v>15000</v>
      </c>
      <c r="L127" s="2" t="s">
        <v>48</v>
      </c>
      <c r="M127" s="2" t="s">
        <v>71</v>
      </c>
      <c r="N127" s="2" t="s">
        <v>37</v>
      </c>
    </row>
    <row r="128" spans="1:14" x14ac:dyDescent="0.25">
      <c r="A128" s="2" t="s">
        <v>374</v>
      </c>
      <c r="B128" s="2" t="s">
        <v>179</v>
      </c>
      <c r="C128" s="2" t="s">
        <v>180</v>
      </c>
      <c r="D128" s="4">
        <v>46066</v>
      </c>
      <c r="E128" s="2" t="s">
        <v>31</v>
      </c>
      <c r="F128" s="2" t="s">
        <v>42</v>
      </c>
      <c r="G128" s="2" t="s">
        <v>46</v>
      </c>
      <c r="H128" s="2" t="s">
        <v>47</v>
      </c>
      <c r="I128" s="2">
        <v>3</v>
      </c>
      <c r="J128" s="5">
        <v>477496</v>
      </c>
      <c r="K128" s="5">
        <v>25000</v>
      </c>
      <c r="L128" s="2" t="s">
        <v>35</v>
      </c>
      <c r="M128" s="2" t="s">
        <v>36</v>
      </c>
      <c r="N128" s="2" t="s">
        <v>61</v>
      </c>
    </row>
    <row r="129" spans="1:14" x14ac:dyDescent="0.25">
      <c r="A129" s="2" t="s">
        <v>375</v>
      </c>
      <c r="B129" s="2" t="s">
        <v>376</v>
      </c>
      <c r="C129" s="2" t="s">
        <v>377</v>
      </c>
      <c r="D129" s="4">
        <v>46132</v>
      </c>
      <c r="E129" s="2" t="s">
        <v>58</v>
      </c>
      <c r="F129" s="2" t="s">
        <v>59</v>
      </c>
      <c r="G129" s="2" t="s">
        <v>85</v>
      </c>
      <c r="H129" s="2" t="s">
        <v>54</v>
      </c>
      <c r="I129" s="2">
        <v>4</v>
      </c>
      <c r="J129" s="5">
        <v>1853964</v>
      </c>
      <c r="K129" s="5">
        <v>35000</v>
      </c>
      <c r="L129" s="2" t="s">
        <v>89</v>
      </c>
      <c r="M129" s="2" t="s">
        <v>71</v>
      </c>
      <c r="N129" s="2" t="s">
        <v>61</v>
      </c>
    </row>
    <row r="130" spans="1:14" x14ac:dyDescent="0.25">
      <c r="A130" s="2" t="s">
        <v>378</v>
      </c>
      <c r="B130" s="2" t="s">
        <v>379</v>
      </c>
      <c r="C130" s="2" t="s">
        <v>158</v>
      </c>
      <c r="D130" s="4">
        <v>46109</v>
      </c>
      <c r="E130" s="2" t="s">
        <v>58</v>
      </c>
      <c r="F130" s="2" t="s">
        <v>42</v>
      </c>
      <c r="G130" s="2" t="s">
        <v>46</v>
      </c>
      <c r="H130" s="2" t="s">
        <v>54</v>
      </c>
      <c r="I130" s="2">
        <v>7</v>
      </c>
      <c r="J130" s="5">
        <v>1440386</v>
      </c>
      <c r="K130" s="5">
        <v>35000</v>
      </c>
      <c r="L130" s="2" t="s">
        <v>35</v>
      </c>
      <c r="M130" s="2" t="s">
        <v>67</v>
      </c>
      <c r="N130" s="2" t="s">
        <v>37</v>
      </c>
    </row>
    <row r="131" spans="1:14" x14ac:dyDescent="0.25">
      <c r="A131" s="2" t="s">
        <v>380</v>
      </c>
      <c r="B131" s="2" t="s">
        <v>381</v>
      </c>
      <c r="C131" s="2" t="s">
        <v>382</v>
      </c>
      <c r="D131" s="4">
        <v>46125</v>
      </c>
      <c r="E131" s="2" t="s">
        <v>58</v>
      </c>
      <c r="F131" s="2" t="s">
        <v>32</v>
      </c>
      <c r="G131" s="2" t="s">
        <v>46</v>
      </c>
      <c r="H131" s="2" t="s">
        <v>76</v>
      </c>
      <c r="I131" s="2">
        <v>6</v>
      </c>
      <c r="J131" s="5">
        <v>2442010</v>
      </c>
      <c r="K131" s="5">
        <v>25000</v>
      </c>
      <c r="L131" s="2" t="s">
        <v>35</v>
      </c>
      <c r="M131" s="2" t="s">
        <v>71</v>
      </c>
      <c r="N131" s="2" t="s">
        <v>61</v>
      </c>
    </row>
    <row r="132" spans="1:14" x14ac:dyDescent="0.25">
      <c r="A132" s="2" t="s">
        <v>383</v>
      </c>
      <c r="B132" s="2" t="s">
        <v>384</v>
      </c>
      <c r="C132" s="2" t="s">
        <v>385</v>
      </c>
      <c r="D132" s="4">
        <v>46126</v>
      </c>
      <c r="E132" s="2" t="s">
        <v>41</v>
      </c>
      <c r="F132" s="2" t="s">
        <v>32</v>
      </c>
      <c r="G132" s="2" t="s">
        <v>75</v>
      </c>
      <c r="H132" s="2" t="s">
        <v>47</v>
      </c>
      <c r="I132" s="2">
        <v>5</v>
      </c>
      <c r="J132" s="5"/>
      <c r="K132" s="5">
        <v>15000</v>
      </c>
      <c r="L132" s="2" t="s">
        <v>35</v>
      </c>
      <c r="M132" s="2" t="s">
        <v>36</v>
      </c>
      <c r="N132" s="2" t="s">
        <v>61</v>
      </c>
    </row>
    <row r="133" spans="1:14" x14ac:dyDescent="0.25">
      <c r="A133" s="2" t="s">
        <v>386</v>
      </c>
      <c r="B133" s="2" t="s">
        <v>387</v>
      </c>
      <c r="C133" s="2" t="s">
        <v>388</v>
      </c>
      <c r="D133" s="4">
        <v>46100</v>
      </c>
      <c r="E133" s="2" t="s">
        <v>31</v>
      </c>
      <c r="F133" s="2" t="s">
        <v>32</v>
      </c>
      <c r="G133" s="2" t="s">
        <v>85</v>
      </c>
      <c r="H133" s="2" t="s">
        <v>54</v>
      </c>
      <c r="I133" s="2">
        <v>5</v>
      </c>
      <c r="J133" s="5">
        <v>473499</v>
      </c>
      <c r="K133" s="5">
        <v>0</v>
      </c>
      <c r="L133" s="2" t="s">
        <v>35</v>
      </c>
      <c r="M133" s="2" t="s">
        <v>36</v>
      </c>
      <c r="N133" s="2" t="s">
        <v>37</v>
      </c>
    </row>
    <row r="134" spans="1:14" x14ac:dyDescent="0.25">
      <c r="A134" s="2" t="s">
        <v>389</v>
      </c>
      <c r="B134" s="2" t="s">
        <v>262</v>
      </c>
      <c r="C134" s="2" t="s">
        <v>390</v>
      </c>
      <c r="D134" s="4">
        <v>46110</v>
      </c>
      <c r="E134" s="2" t="s">
        <v>80</v>
      </c>
      <c r="F134" s="2" t="s">
        <v>59</v>
      </c>
      <c r="G134" s="2" t="s">
        <v>46</v>
      </c>
      <c r="H134" s="2" t="s">
        <v>54</v>
      </c>
      <c r="I134" s="2">
        <v>1</v>
      </c>
      <c r="J134" s="5">
        <v>791203</v>
      </c>
      <c r="K134" s="5">
        <v>0</v>
      </c>
      <c r="L134" s="2" t="s">
        <v>48</v>
      </c>
      <c r="M134" s="2" t="s">
        <v>36</v>
      </c>
      <c r="N134" s="2" t="s">
        <v>61</v>
      </c>
    </row>
    <row r="135" spans="1:14" x14ac:dyDescent="0.25">
      <c r="A135" s="2" t="s">
        <v>391</v>
      </c>
      <c r="B135" s="2" t="s">
        <v>392</v>
      </c>
      <c r="C135" s="2" t="s">
        <v>393</v>
      </c>
      <c r="D135" s="4">
        <v>46118</v>
      </c>
      <c r="E135" s="2" t="s">
        <v>58</v>
      </c>
      <c r="F135" s="2" t="s">
        <v>59</v>
      </c>
      <c r="G135" s="2" t="s">
        <v>33</v>
      </c>
      <c r="H135" s="2" t="s">
        <v>76</v>
      </c>
      <c r="I135" s="2">
        <v>3</v>
      </c>
      <c r="J135" s="5">
        <v>1209497</v>
      </c>
      <c r="K135" s="5">
        <v>50000</v>
      </c>
      <c r="L135" s="2" t="s">
        <v>35</v>
      </c>
      <c r="M135" s="2" t="s">
        <v>36</v>
      </c>
      <c r="N135" s="2" t="s">
        <v>61</v>
      </c>
    </row>
    <row r="136" spans="1:14" x14ac:dyDescent="0.25">
      <c r="A136" s="2" t="s">
        <v>394</v>
      </c>
      <c r="B136" s="2" t="s">
        <v>279</v>
      </c>
      <c r="C136" s="2" t="s">
        <v>111</v>
      </c>
      <c r="D136" s="4">
        <v>46109</v>
      </c>
      <c r="E136" s="2" t="s">
        <v>53</v>
      </c>
      <c r="F136" s="2" t="s">
        <v>42</v>
      </c>
      <c r="G136" s="2" t="s">
        <v>33</v>
      </c>
      <c r="H136" s="2" t="s">
        <v>66</v>
      </c>
      <c r="I136" s="2">
        <v>5</v>
      </c>
      <c r="J136" s="5">
        <v>1110263</v>
      </c>
      <c r="K136" s="5">
        <v>50000</v>
      </c>
      <c r="L136" s="2" t="s">
        <v>35</v>
      </c>
      <c r="M136" s="2" t="s">
        <v>49</v>
      </c>
      <c r="N136" s="2" t="s">
        <v>37</v>
      </c>
    </row>
    <row r="137" spans="1:14" x14ac:dyDescent="0.25">
      <c r="A137" s="2" t="s">
        <v>395</v>
      </c>
      <c r="B137" s="2" t="s">
        <v>396</v>
      </c>
      <c r="C137" s="2" t="s">
        <v>241</v>
      </c>
      <c r="D137" s="4">
        <v>46169</v>
      </c>
      <c r="E137" s="2" t="s">
        <v>53</v>
      </c>
      <c r="F137" s="2" t="s">
        <v>42</v>
      </c>
      <c r="G137" s="2" t="s">
        <v>33</v>
      </c>
      <c r="H137" s="2" t="s">
        <v>47</v>
      </c>
      <c r="I137" s="2">
        <v>5</v>
      </c>
      <c r="J137" s="5">
        <v>707082</v>
      </c>
      <c r="K137" s="5">
        <v>35000</v>
      </c>
      <c r="L137" s="2" t="s">
        <v>35</v>
      </c>
      <c r="M137" s="2" t="s">
        <v>67</v>
      </c>
      <c r="N137" s="2" t="s">
        <v>61</v>
      </c>
    </row>
    <row r="138" spans="1:14" x14ac:dyDescent="0.25">
      <c r="A138" s="2" t="s">
        <v>397</v>
      </c>
      <c r="B138" s="2" t="s">
        <v>128</v>
      </c>
      <c r="C138" s="2" t="s">
        <v>129</v>
      </c>
      <c r="D138" s="4">
        <v>46131</v>
      </c>
      <c r="E138" s="2" t="s">
        <v>41</v>
      </c>
      <c r="F138" s="2" t="s">
        <v>42</v>
      </c>
      <c r="G138" s="2" t="s">
        <v>60</v>
      </c>
      <c r="H138" s="2" t="s">
        <v>54</v>
      </c>
      <c r="I138" s="2">
        <v>1</v>
      </c>
      <c r="J138" s="5">
        <v>1848275</v>
      </c>
      <c r="K138" s="5">
        <v>0</v>
      </c>
      <c r="L138" s="2" t="s">
        <v>35</v>
      </c>
      <c r="M138" s="2" t="s">
        <v>71</v>
      </c>
      <c r="N138" s="2" t="s">
        <v>37</v>
      </c>
    </row>
    <row r="139" spans="1:14" x14ac:dyDescent="0.25">
      <c r="A139" s="2" t="s">
        <v>398</v>
      </c>
      <c r="B139" s="2" t="s">
        <v>399</v>
      </c>
      <c r="C139" s="2" t="s">
        <v>111</v>
      </c>
      <c r="D139" s="4">
        <v>46157</v>
      </c>
      <c r="E139" s="2" t="s">
        <v>80</v>
      </c>
      <c r="F139" s="2" t="s">
        <v>59</v>
      </c>
      <c r="G139" s="2" t="s">
        <v>75</v>
      </c>
      <c r="H139" s="2" t="s">
        <v>47</v>
      </c>
      <c r="I139" s="2">
        <v>5</v>
      </c>
      <c r="J139" s="5">
        <v>1809271</v>
      </c>
      <c r="K139" s="5">
        <v>50000</v>
      </c>
      <c r="L139" s="2" t="s">
        <v>35</v>
      </c>
      <c r="M139" s="2" t="s">
        <v>36</v>
      </c>
      <c r="N139" s="2" t="s">
        <v>37</v>
      </c>
    </row>
    <row r="140" spans="1:14" x14ac:dyDescent="0.25">
      <c r="A140" s="2" t="s">
        <v>400</v>
      </c>
      <c r="B140" s="2" t="s">
        <v>118</v>
      </c>
      <c r="C140" s="2" t="s">
        <v>119</v>
      </c>
      <c r="D140" s="4">
        <v>46148</v>
      </c>
      <c r="E140" s="2" t="s">
        <v>41</v>
      </c>
      <c r="F140" s="2" t="s">
        <v>42</v>
      </c>
      <c r="G140" s="2" t="s">
        <v>75</v>
      </c>
      <c r="H140" s="2" t="s">
        <v>76</v>
      </c>
      <c r="I140" s="2">
        <v>2</v>
      </c>
      <c r="J140" s="5">
        <v>1868699</v>
      </c>
      <c r="K140" s="5">
        <v>15000</v>
      </c>
      <c r="L140" s="2" t="s">
        <v>35</v>
      </c>
      <c r="M140" s="2" t="s">
        <v>36</v>
      </c>
      <c r="N140" s="2" t="s">
        <v>61</v>
      </c>
    </row>
    <row r="141" spans="1:14" x14ac:dyDescent="0.25">
      <c r="A141" s="2" t="s">
        <v>401</v>
      </c>
      <c r="B141" s="2" t="s">
        <v>197</v>
      </c>
      <c r="C141" s="2" t="s">
        <v>198</v>
      </c>
      <c r="D141" s="4">
        <v>46077</v>
      </c>
      <c r="E141" s="2" t="s">
        <v>80</v>
      </c>
      <c r="F141" s="2" t="s">
        <v>65</v>
      </c>
      <c r="G141" s="2" t="s">
        <v>46</v>
      </c>
      <c r="H141" s="2" t="s">
        <v>47</v>
      </c>
      <c r="I141" s="2">
        <v>1</v>
      </c>
      <c r="J141" s="5">
        <v>2030221</v>
      </c>
      <c r="K141" s="5">
        <v>35000</v>
      </c>
      <c r="L141" s="2" t="s">
        <v>35</v>
      </c>
      <c r="M141" s="2" t="s">
        <v>49</v>
      </c>
      <c r="N141" s="2" t="s">
        <v>61</v>
      </c>
    </row>
    <row r="142" spans="1:14" x14ac:dyDescent="0.25">
      <c r="A142" s="2" t="s">
        <v>402</v>
      </c>
      <c r="B142" s="2" t="s">
        <v>146</v>
      </c>
      <c r="C142" s="2" t="s">
        <v>40</v>
      </c>
      <c r="D142" s="2" t="s">
        <v>403</v>
      </c>
      <c r="E142" s="2" t="s">
        <v>80</v>
      </c>
      <c r="F142" s="2" t="s">
        <v>32</v>
      </c>
      <c r="G142" s="2" t="s">
        <v>33</v>
      </c>
      <c r="H142" s="2" t="s">
        <v>47</v>
      </c>
      <c r="I142" s="2">
        <v>5</v>
      </c>
      <c r="J142" s="5">
        <v>1334630</v>
      </c>
      <c r="K142" s="5">
        <v>0</v>
      </c>
      <c r="L142" s="2" t="s">
        <v>35</v>
      </c>
      <c r="M142" s="2" t="s">
        <v>36</v>
      </c>
      <c r="N142" s="2" t="s">
        <v>61</v>
      </c>
    </row>
    <row r="143" spans="1:14" x14ac:dyDescent="0.25">
      <c r="A143" s="2" t="s">
        <v>404</v>
      </c>
      <c r="B143" s="2" t="s">
        <v>405</v>
      </c>
      <c r="C143" s="2" t="s">
        <v>107</v>
      </c>
      <c r="D143" s="4">
        <v>46059</v>
      </c>
      <c r="E143" s="2" t="s">
        <v>80</v>
      </c>
      <c r="F143" s="2" t="s">
        <v>42</v>
      </c>
      <c r="G143" s="2" t="s">
        <v>85</v>
      </c>
      <c r="H143" s="2" t="s">
        <v>47</v>
      </c>
      <c r="I143" s="2">
        <v>4</v>
      </c>
      <c r="J143" s="5">
        <v>716177</v>
      </c>
      <c r="K143" s="5">
        <v>50000</v>
      </c>
      <c r="L143" s="2" t="s">
        <v>35</v>
      </c>
      <c r="M143" s="2" t="s">
        <v>71</v>
      </c>
      <c r="N143" s="2" t="s">
        <v>61</v>
      </c>
    </row>
    <row r="144" spans="1:14" x14ac:dyDescent="0.25">
      <c r="A144" s="2" t="s">
        <v>406</v>
      </c>
      <c r="B144" s="2" t="s">
        <v>407</v>
      </c>
      <c r="C144" s="2" t="s">
        <v>200</v>
      </c>
      <c r="D144" s="4">
        <v>46163</v>
      </c>
      <c r="E144" s="2" t="s">
        <v>80</v>
      </c>
      <c r="F144" s="2" t="s">
        <v>59</v>
      </c>
      <c r="G144" s="2" t="s">
        <v>33</v>
      </c>
      <c r="H144" s="2" t="s">
        <v>47</v>
      </c>
      <c r="I144" s="2">
        <v>7</v>
      </c>
      <c r="J144" s="5">
        <v>1582339</v>
      </c>
      <c r="K144" s="5">
        <v>0</v>
      </c>
      <c r="L144" s="2" t="s">
        <v>35</v>
      </c>
      <c r="M144" s="2" t="s">
        <v>36</v>
      </c>
      <c r="N144" s="2" t="s">
        <v>37</v>
      </c>
    </row>
    <row r="145" spans="1:14" x14ac:dyDescent="0.25">
      <c r="A145" s="2" t="s">
        <v>408</v>
      </c>
      <c r="B145" s="2" t="s">
        <v>187</v>
      </c>
      <c r="C145" s="2" t="s">
        <v>88</v>
      </c>
      <c r="D145" s="4">
        <v>46178</v>
      </c>
      <c r="E145" s="2" t="s">
        <v>41</v>
      </c>
      <c r="F145" s="2" t="s">
        <v>42</v>
      </c>
      <c r="G145" s="2" t="s">
        <v>75</v>
      </c>
      <c r="H145" s="2" t="s">
        <v>66</v>
      </c>
      <c r="I145" s="2">
        <v>5</v>
      </c>
      <c r="J145" s="5">
        <v>677043</v>
      </c>
      <c r="K145" s="5">
        <v>15000</v>
      </c>
      <c r="L145" s="2" t="s">
        <v>35</v>
      </c>
      <c r="M145" s="2" t="s">
        <v>36</v>
      </c>
      <c r="N145" s="2" t="s">
        <v>61</v>
      </c>
    </row>
    <row r="146" spans="1:14" x14ac:dyDescent="0.25">
      <c r="A146" s="2" t="s">
        <v>409</v>
      </c>
      <c r="B146" s="2" t="s">
        <v>318</v>
      </c>
      <c r="C146" s="2" t="s">
        <v>45</v>
      </c>
      <c r="D146" s="4">
        <v>46182</v>
      </c>
      <c r="E146" s="2" t="s">
        <v>58</v>
      </c>
      <c r="F146" s="2" t="s">
        <v>59</v>
      </c>
      <c r="G146" s="2" t="s">
        <v>75</v>
      </c>
      <c r="H146" s="2" t="s">
        <v>66</v>
      </c>
      <c r="I146" s="2">
        <v>2</v>
      </c>
      <c r="J146" s="5">
        <v>1838105</v>
      </c>
      <c r="K146" s="5">
        <v>35000</v>
      </c>
      <c r="L146" s="2" t="s">
        <v>245</v>
      </c>
      <c r="M146" s="2" t="s">
        <v>67</v>
      </c>
      <c r="N146" s="2" t="s">
        <v>61</v>
      </c>
    </row>
    <row r="147" spans="1:14" x14ac:dyDescent="0.25">
      <c r="A147" s="2" t="s">
        <v>410</v>
      </c>
      <c r="B147" s="2" t="s">
        <v>411</v>
      </c>
      <c r="C147" s="2" t="s">
        <v>244</v>
      </c>
      <c r="D147" s="4">
        <v>46065</v>
      </c>
      <c r="E147" s="2" t="s">
        <v>58</v>
      </c>
      <c r="F147" s="2" t="s">
        <v>65</v>
      </c>
      <c r="G147" s="2" t="s">
        <v>85</v>
      </c>
      <c r="H147" s="2" t="s">
        <v>76</v>
      </c>
      <c r="I147" s="2">
        <v>6</v>
      </c>
      <c r="J147" s="5">
        <v>224035</v>
      </c>
      <c r="K147" s="5">
        <v>50000</v>
      </c>
      <c r="L147" s="2" t="s">
        <v>48</v>
      </c>
      <c r="M147" s="2" t="s">
        <v>71</v>
      </c>
      <c r="N147" s="2" t="s">
        <v>61</v>
      </c>
    </row>
    <row r="148" spans="1:14" x14ac:dyDescent="0.25">
      <c r="A148" s="2" t="s">
        <v>412</v>
      </c>
      <c r="B148" s="2" t="s">
        <v>413</v>
      </c>
      <c r="C148" s="2" t="s">
        <v>122</v>
      </c>
      <c r="D148" s="4">
        <v>46156</v>
      </c>
      <c r="E148" s="2" t="s">
        <v>31</v>
      </c>
      <c r="F148" s="2" t="s">
        <v>65</v>
      </c>
      <c r="G148" s="2" t="s">
        <v>33</v>
      </c>
      <c r="H148" s="2" t="s">
        <v>34</v>
      </c>
      <c r="I148" s="2">
        <v>5</v>
      </c>
      <c r="J148" s="5">
        <v>914383</v>
      </c>
      <c r="K148" s="5">
        <v>35000</v>
      </c>
      <c r="L148" s="2" t="s">
        <v>48</v>
      </c>
      <c r="M148" s="2" t="s">
        <v>49</v>
      </c>
      <c r="N148" s="2" t="s">
        <v>61</v>
      </c>
    </row>
    <row r="149" spans="1:14" x14ac:dyDescent="0.25">
      <c r="A149" s="2" t="s">
        <v>414</v>
      </c>
      <c r="B149" s="2" t="s">
        <v>415</v>
      </c>
      <c r="C149" s="2" t="s">
        <v>141</v>
      </c>
      <c r="D149" s="4">
        <v>46203</v>
      </c>
      <c r="E149" s="2" t="s">
        <v>53</v>
      </c>
      <c r="F149" s="2" t="s">
        <v>65</v>
      </c>
      <c r="G149" s="2" t="s">
        <v>60</v>
      </c>
      <c r="H149" s="2" t="s">
        <v>54</v>
      </c>
      <c r="I149" s="2">
        <v>7</v>
      </c>
      <c r="J149" s="5">
        <v>1983233</v>
      </c>
      <c r="K149" s="5">
        <v>0</v>
      </c>
      <c r="L149" s="2" t="s">
        <v>35</v>
      </c>
      <c r="M149" s="2" t="s">
        <v>67</v>
      </c>
      <c r="N149" s="2" t="s">
        <v>37</v>
      </c>
    </row>
    <row r="150" spans="1:14" x14ac:dyDescent="0.25">
      <c r="A150" s="2" t="s">
        <v>416</v>
      </c>
      <c r="B150" s="2" t="s">
        <v>417</v>
      </c>
      <c r="C150" s="2" t="s">
        <v>70</v>
      </c>
      <c r="D150" s="4">
        <v>46069</v>
      </c>
      <c r="E150" s="2" t="s">
        <v>58</v>
      </c>
      <c r="F150" s="2" t="s">
        <v>65</v>
      </c>
      <c r="G150" s="2" t="s">
        <v>81</v>
      </c>
      <c r="H150" s="2" t="s">
        <v>76</v>
      </c>
      <c r="I150" s="2">
        <v>7</v>
      </c>
      <c r="J150" s="5">
        <v>1860369</v>
      </c>
      <c r="K150" s="5">
        <v>0</v>
      </c>
      <c r="L150" s="2" t="s">
        <v>35</v>
      </c>
      <c r="M150" s="2" t="s">
        <v>36</v>
      </c>
      <c r="N150" s="2" t="s">
        <v>61</v>
      </c>
    </row>
    <row r="151" spans="1:14" x14ac:dyDescent="0.25">
      <c r="A151" s="2" t="s">
        <v>418</v>
      </c>
      <c r="B151" s="2" t="s">
        <v>419</v>
      </c>
      <c r="C151" s="2" t="s">
        <v>190</v>
      </c>
      <c r="D151" s="4">
        <v>46059</v>
      </c>
      <c r="E151" s="2" t="s">
        <v>41</v>
      </c>
      <c r="F151" s="2" t="s">
        <v>42</v>
      </c>
      <c r="G151" s="2" t="s">
        <v>81</v>
      </c>
      <c r="H151" s="2" t="s">
        <v>76</v>
      </c>
      <c r="I151" s="2">
        <v>7</v>
      </c>
      <c r="J151" s="5">
        <v>886169</v>
      </c>
      <c r="K151" s="5">
        <v>25000</v>
      </c>
      <c r="L151" s="2" t="s">
        <v>35</v>
      </c>
      <c r="M151" s="2" t="s">
        <v>67</v>
      </c>
      <c r="N151" s="2" t="s">
        <v>37</v>
      </c>
    </row>
    <row r="152" spans="1:14" x14ac:dyDescent="0.25">
      <c r="A152" s="2" t="s">
        <v>420</v>
      </c>
      <c r="B152" s="2" t="s">
        <v>286</v>
      </c>
      <c r="C152" s="2" t="s">
        <v>45</v>
      </c>
      <c r="D152" s="4">
        <v>46029</v>
      </c>
      <c r="E152" s="2" t="s">
        <v>80</v>
      </c>
      <c r="F152" s="2" t="s">
        <v>32</v>
      </c>
      <c r="G152" s="2" t="s">
        <v>60</v>
      </c>
      <c r="H152" s="2" t="s">
        <v>54</v>
      </c>
      <c r="I152" s="2">
        <v>4</v>
      </c>
      <c r="J152" s="5">
        <v>365374</v>
      </c>
      <c r="K152" s="5">
        <v>25000</v>
      </c>
      <c r="L152" s="2" t="s">
        <v>35</v>
      </c>
      <c r="M152" s="2" t="s">
        <v>108</v>
      </c>
      <c r="N152" s="2" t="s">
        <v>61</v>
      </c>
    </row>
    <row r="153" spans="1:14" x14ac:dyDescent="0.25">
      <c r="A153" s="2" t="s">
        <v>421</v>
      </c>
      <c r="B153" s="2" t="s">
        <v>240</v>
      </c>
      <c r="C153" s="2" t="s">
        <v>241</v>
      </c>
      <c r="D153" s="4">
        <v>46084</v>
      </c>
      <c r="E153" s="2" t="s">
        <v>58</v>
      </c>
      <c r="F153" s="2" t="s">
        <v>32</v>
      </c>
      <c r="G153" s="2" t="s">
        <v>81</v>
      </c>
      <c r="H153" s="2" t="s">
        <v>66</v>
      </c>
      <c r="I153" s="2">
        <v>5</v>
      </c>
      <c r="J153" s="5">
        <v>1111915</v>
      </c>
      <c r="K153" s="5">
        <v>35000</v>
      </c>
      <c r="L153" s="2" t="s">
        <v>35</v>
      </c>
      <c r="M153" s="2" t="s">
        <v>36</v>
      </c>
      <c r="N153" s="2" t="s">
        <v>37</v>
      </c>
    </row>
    <row r="154" spans="1:14" x14ac:dyDescent="0.25">
      <c r="A154" s="2" t="s">
        <v>422</v>
      </c>
      <c r="B154" s="2" t="s">
        <v>140</v>
      </c>
      <c r="C154" s="2" t="s">
        <v>141</v>
      </c>
      <c r="D154" s="4">
        <v>46127</v>
      </c>
      <c r="E154" s="2" t="s">
        <v>58</v>
      </c>
      <c r="F154" s="2" t="s">
        <v>32</v>
      </c>
      <c r="G154" s="2" t="s">
        <v>46</v>
      </c>
      <c r="H154" s="2" t="s">
        <v>76</v>
      </c>
      <c r="I154" s="2">
        <v>1</v>
      </c>
      <c r="J154" s="5">
        <v>394551</v>
      </c>
      <c r="K154" s="5">
        <v>35000</v>
      </c>
      <c r="L154" s="2" t="s">
        <v>35</v>
      </c>
      <c r="M154" s="2" t="s">
        <v>67</v>
      </c>
      <c r="N154" s="2" t="s">
        <v>61</v>
      </c>
    </row>
    <row r="155" spans="1:14" x14ac:dyDescent="0.25">
      <c r="A155" s="2" t="s">
        <v>423</v>
      </c>
      <c r="B155" s="2" t="s">
        <v>424</v>
      </c>
      <c r="C155" s="2" t="s">
        <v>79</v>
      </c>
      <c r="D155" s="4">
        <v>46165</v>
      </c>
      <c r="E155" s="2" t="s">
        <v>53</v>
      </c>
      <c r="F155" s="2" t="s">
        <v>42</v>
      </c>
      <c r="G155" s="2" t="s">
        <v>85</v>
      </c>
      <c r="H155" s="2" t="s">
        <v>66</v>
      </c>
      <c r="I155" s="2">
        <v>5</v>
      </c>
      <c r="J155" s="5">
        <v>646684</v>
      </c>
      <c r="K155" s="5">
        <v>25000</v>
      </c>
      <c r="L155" s="2" t="s">
        <v>35</v>
      </c>
      <c r="M155" s="2" t="s">
        <v>67</v>
      </c>
      <c r="N155" s="2" t="s">
        <v>61</v>
      </c>
    </row>
    <row r="156" spans="1:14" x14ac:dyDescent="0.25">
      <c r="A156" s="2" t="s">
        <v>425</v>
      </c>
      <c r="B156" s="2" t="s">
        <v>366</v>
      </c>
      <c r="C156" s="2" t="s">
        <v>266</v>
      </c>
      <c r="D156" s="4">
        <v>46085</v>
      </c>
      <c r="E156" s="2" t="s">
        <v>41</v>
      </c>
      <c r="F156" s="2" t="s">
        <v>32</v>
      </c>
      <c r="G156" s="2" t="s">
        <v>75</v>
      </c>
      <c r="H156" s="2" t="s">
        <v>34</v>
      </c>
      <c r="I156" s="2">
        <v>5</v>
      </c>
      <c r="J156" s="5">
        <v>2374587</v>
      </c>
      <c r="K156" s="5">
        <v>35000</v>
      </c>
      <c r="L156" s="2" t="s">
        <v>35</v>
      </c>
      <c r="M156" s="2" t="s">
        <v>67</v>
      </c>
      <c r="N156" s="2" t="s">
        <v>61</v>
      </c>
    </row>
    <row r="157" spans="1:14" x14ac:dyDescent="0.25">
      <c r="A157" s="2" t="s">
        <v>426</v>
      </c>
      <c r="B157" s="2" t="s">
        <v>427</v>
      </c>
      <c r="C157" s="2" t="s">
        <v>388</v>
      </c>
      <c r="D157" s="4">
        <v>46146</v>
      </c>
      <c r="E157" s="2" t="s">
        <v>31</v>
      </c>
      <c r="F157" s="2" t="s">
        <v>32</v>
      </c>
      <c r="G157" s="2" t="s">
        <v>81</v>
      </c>
      <c r="H157" s="2" t="s">
        <v>34</v>
      </c>
      <c r="I157" s="2">
        <v>3</v>
      </c>
      <c r="J157" s="5">
        <v>1266315</v>
      </c>
      <c r="K157" s="5">
        <v>50000</v>
      </c>
      <c r="L157" s="2" t="s">
        <v>349</v>
      </c>
      <c r="M157" s="2" t="s">
        <v>71</v>
      </c>
      <c r="N157" s="2" t="s">
        <v>61</v>
      </c>
    </row>
    <row r="158" spans="1:14" x14ac:dyDescent="0.25">
      <c r="A158" s="2" t="s">
        <v>428</v>
      </c>
      <c r="B158" s="2" t="s">
        <v>275</v>
      </c>
      <c r="C158" s="2" t="s">
        <v>276</v>
      </c>
      <c r="D158" s="4">
        <v>46045</v>
      </c>
      <c r="E158" s="2" t="s">
        <v>80</v>
      </c>
      <c r="F158" s="2" t="s">
        <v>59</v>
      </c>
      <c r="G158" s="2" t="s">
        <v>85</v>
      </c>
      <c r="H158" s="2" t="s">
        <v>76</v>
      </c>
      <c r="I158" s="2">
        <v>7</v>
      </c>
      <c r="J158" s="5">
        <v>1778028</v>
      </c>
      <c r="K158" s="5">
        <v>0</v>
      </c>
      <c r="L158" s="2" t="s">
        <v>35</v>
      </c>
      <c r="M158" s="2" t="s">
        <v>36</v>
      </c>
      <c r="N158" s="2" t="s">
        <v>37</v>
      </c>
    </row>
    <row r="159" spans="1:14" x14ac:dyDescent="0.25">
      <c r="A159" s="2" t="s">
        <v>429</v>
      </c>
      <c r="B159" s="2" t="s">
        <v>430</v>
      </c>
      <c r="C159" s="2" t="s">
        <v>45</v>
      </c>
      <c r="D159" s="4">
        <v>46197</v>
      </c>
      <c r="E159" s="2" t="s">
        <v>431</v>
      </c>
      <c r="F159" s="2" t="s">
        <v>32</v>
      </c>
      <c r="G159" s="2" t="s">
        <v>85</v>
      </c>
      <c r="H159" s="2" t="s">
        <v>432</v>
      </c>
      <c r="I159" s="2">
        <v>7</v>
      </c>
      <c r="J159" s="5">
        <v>1557116</v>
      </c>
      <c r="K159" s="5">
        <v>25000</v>
      </c>
      <c r="L159" s="2" t="s">
        <v>35</v>
      </c>
      <c r="M159" s="2" t="s">
        <v>67</v>
      </c>
      <c r="N159" s="2" t="s">
        <v>37</v>
      </c>
    </row>
    <row r="160" spans="1:14" x14ac:dyDescent="0.25">
      <c r="A160" s="2" t="s">
        <v>433</v>
      </c>
      <c r="B160" s="2" t="s">
        <v>434</v>
      </c>
      <c r="C160" s="2" t="s">
        <v>435</v>
      </c>
      <c r="D160" s="4">
        <v>46200</v>
      </c>
      <c r="E160" s="2" t="s">
        <v>31</v>
      </c>
      <c r="F160" s="2" t="s">
        <v>59</v>
      </c>
      <c r="G160" s="2" t="s">
        <v>46</v>
      </c>
      <c r="H160" s="2" t="s">
        <v>47</v>
      </c>
      <c r="I160" s="2">
        <v>5</v>
      </c>
      <c r="J160" s="5">
        <v>680886</v>
      </c>
      <c r="K160" s="5">
        <v>0</v>
      </c>
      <c r="L160" s="2" t="s">
        <v>35</v>
      </c>
      <c r="M160" s="2" t="s">
        <v>71</v>
      </c>
      <c r="N160" s="2" t="s">
        <v>37</v>
      </c>
    </row>
    <row r="161" spans="1:14" x14ac:dyDescent="0.25">
      <c r="A161" s="2" t="s">
        <v>436</v>
      </c>
      <c r="B161" s="2" t="s">
        <v>125</v>
      </c>
      <c r="C161" s="2" t="s">
        <v>126</v>
      </c>
      <c r="D161" s="4">
        <v>46043</v>
      </c>
      <c r="E161" s="2" t="s">
        <v>58</v>
      </c>
      <c r="F161" s="2" t="s">
        <v>32</v>
      </c>
      <c r="G161" s="2" t="s">
        <v>60</v>
      </c>
      <c r="H161" s="2" t="s">
        <v>76</v>
      </c>
      <c r="I161" s="2">
        <v>1</v>
      </c>
      <c r="J161" s="5">
        <v>445155</v>
      </c>
      <c r="K161" s="5">
        <v>50000</v>
      </c>
      <c r="L161" s="2" t="s">
        <v>48</v>
      </c>
      <c r="M161" s="2" t="s">
        <v>71</v>
      </c>
      <c r="N161" s="2" t="s">
        <v>37</v>
      </c>
    </row>
    <row r="162" spans="1:14" x14ac:dyDescent="0.25">
      <c r="A162" s="2" t="s">
        <v>437</v>
      </c>
      <c r="B162" s="2" t="s">
        <v>438</v>
      </c>
      <c r="C162" s="2" t="s">
        <v>244</v>
      </c>
      <c r="D162" s="4">
        <v>46068</v>
      </c>
      <c r="E162" s="2" t="s">
        <v>58</v>
      </c>
      <c r="F162" s="2" t="s">
        <v>42</v>
      </c>
      <c r="G162" s="2" t="s">
        <v>75</v>
      </c>
      <c r="H162" s="2" t="s">
        <v>54</v>
      </c>
      <c r="I162" s="2">
        <v>4</v>
      </c>
      <c r="J162" s="5" t="s">
        <v>439</v>
      </c>
      <c r="K162" s="5">
        <v>0</v>
      </c>
      <c r="L162" s="2" t="s">
        <v>35</v>
      </c>
      <c r="M162" s="2" t="s">
        <v>67</v>
      </c>
      <c r="N162" s="2" t="s">
        <v>37</v>
      </c>
    </row>
    <row r="163" spans="1:14" x14ac:dyDescent="0.25">
      <c r="A163" s="2" t="s">
        <v>440</v>
      </c>
      <c r="B163" s="2" t="s">
        <v>441</v>
      </c>
      <c r="C163" s="2" t="s">
        <v>442</v>
      </c>
      <c r="D163" s="4">
        <v>46114</v>
      </c>
      <c r="E163" s="2" t="s">
        <v>31</v>
      </c>
      <c r="F163" s="2" t="s">
        <v>42</v>
      </c>
      <c r="G163" s="2" t="s">
        <v>60</v>
      </c>
      <c r="H163" s="2" t="s">
        <v>66</v>
      </c>
      <c r="I163" s="2">
        <v>7</v>
      </c>
      <c r="J163" s="5">
        <v>923258</v>
      </c>
      <c r="K163" s="5">
        <v>0</v>
      </c>
      <c r="L163" s="2" t="s">
        <v>35</v>
      </c>
      <c r="M163" s="2" t="s">
        <v>443</v>
      </c>
      <c r="N163" s="2" t="s">
        <v>61</v>
      </c>
    </row>
    <row r="164" spans="1:14" x14ac:dyDescent="0.25">
      <c r="A164" s="2" t="s">
        <v>444</v>
      </c>
      <c r="B164" s="2" t="s">
        <v>51</v>
      </c>
      <c r="C164" s="2" t="s">
        <v>52</v>
      </c>
      <c r="D164" s="4">
        <v>46149</v>
      </c>
      <c r="E164" s="2" t="s">
        <v>80</v>
      </c>
      <c r="F164" s="2" t="s">
        <v>59</v>
      </c>
      <c r="G164" s="2" t="s">
        <v>85</v>
      </c>
      <c r="H164" s="2" t="s">
        <v>76</v>
      </c>
      <c r="I164" s="2">
        <v>2</v>
      </c>
      <c r="J164" s="5">
        <v>996971</v>
      </c>
      <c r="K164" s="5">
        <v>0</v>
      </c>
      <c r="L164" s="2" t="s">
        <v>89</v>
      </c>
      <c r="M164" s="2" t="s">
        <v>36</v>
      </c>
      <c r="N164" s="2" t="s">
        <v>61</v>
      </c>
    </row>
    <row r="165" spans="1:14" x14ac:dyDescent="0.25">
      <c r="A165" s="2" t="s">
        <v>445</v>
      </c>
      <c r="B165" s="2" t="s">
        <v>446</v>
      </c>
      <c r="C165" s="2" t="s">
        <v>98</v>
      </c>
      <c r="D165" s="4">
        <v>46167</v>
      </c>
      <c r="E165" s="2" t="s">
        <v>31</v>
      </c>
      <c r="F165" s="2" t="s">
        <v>32</v>
      </c>
      <c r="G165" s="2" t="s">
        <v>447</v>
      </c>
      <c r="H165" s="2" t="s">
        <v>34</v>
      </c>
      <c r="I165" s="2">
        <v>1</v>
      </c>
      <c r="J165" s="5">
        <v>2490369</v>
      </c>
      <c r="K165" s="5">
        <v>15000</v>
      </c>
      <c r="L165" s="2" t="s">
        <v>35</v>
      </c>
      <c r="M165" s="2" t="s">
        <v>36</v>
      </c>
      <c r="N165" s="2" t="s">
        <v>37</v>
      </c>
    </row>
    <row r="166" spans="1:14" x14ac:dyDescent="0.25">
      <c r="A166" s="2" t="s">
        <v>448</v>
      </c>
      <c r="B166" s="2" t="s">
        <v>252</v>
      </c>
      <c r="C166" s="2" t="s">
        <v>253</v>
      </c>
      <c r="D166" s="4">
        <v>46196</v>
      </c>
      <c r="E166" s="2" t="s">
        <v>41</v>
      </c>
      <c r="F166" s="2" t="s">
        <v>65</v>
      </c>
      <c r="G166" s="2" t="s">
        <v>60</v>
      </c>
      <c r="H166" s="2" t="s">
        <v>54</v>
      </c>
      <c r="I166" s="2">
        <v>5</v>
      </c>
      <c r="J166" s="5">
        <v>216961</v>
      </c>
      <c r="K166" s="5">
        <v>50000</v>
      </c>
      <c r="L166" s="2" t="s">
        <v>35</v>
      </c>
      <c r="M166" s="2" t="s">
        <v>36</v>
      </c>
      <c r="N166" s="2" t="s">
        <v>37</v>
      </c>
    </row>
    <row r="167" spans="1:14" x14ac:dyDescent="0.25">
      <c r="A167" s="2" t="s">
        <v>449</v>
      </c>
      <c r="B167" s="2" t="s">
        <v>450</v>
      </c>
      <c r="C167" s="2" t="s">
        <v>219</v>
      </c>
      <c r="D167" s="2"/>
      <c r="E167" s="2" t="s">
        <v>53</v>
      </c>
      <c r="F167" s="2" t="s">
        <v>65</v>
      </c>
      <c r="G167" s="2" t="s">
        <v>75</v>
      </c>
      <c r="H167" s="2" t="s">
        <v>34</v>
      </c>
      <c r="I167" s="2">
        <v>6</v>
      </c>
      <c r="J167" s="5">
        <v>1269388</v>
      </c>
      <c r="K167" s="5">
        <v>0</v>
      </c>
      <c r="L167" s="2" t="s">
        <v>35</v>
      </c>
      <c r="M167" s="2" t="s">
        <v>36</v>
      </c>
      <c r="N167" s="2" t="s">
        <v>61</v>
      </c>
    </row>
    <row r="168" spans="1:14" x14ac:dyDescent="0.25">
      <c r="A168" s="2" t="s">
        <v>451</v>
      </c>
      <c r="B168" s="2" t="s">
        <v>51</v>
      </c>
      <c r="C168" s="2" t="s">
        <v>52</v>
      </c>
      <c r="D168" s="4">
        <v>46130</v>
      </c>
      <c r="E168" s="2" t="s">
        <v>58</v>
      </c>
      <c r="F168" s="2" t="s">
        <v>65</v>
      </c>
      <c r="G168" s="2" t="s">
        <v>75</v>
      </c>
      <c r="H168" s="2" t="s">
        <v>34</v>
      </c>
      <c r="I168" s="2">
        <v>3</v>
      </c>
      <c r="J168" s="5">
        <v>2353090</v>
      </c>
      <c r="K168" s="5">
        <v>35000</v>
      </c>
      <c r="L168" s="2" t="s">
        <v>177</v>
      </c>
      <c r="M168" s="2" t="s">
        <v>67</v>
      </c>
      <c r="N168" s="2" t="s">
        <v>37</v>
      </c>
    </row>
    <row r="169" spans="1:14" x14ac:dyDescent="0.25">
      <c r="A169" s="2" t="s">
        <v>452</v>
      </c>
      <c r="B169" s="2" t="s">
        <v>453</v>
      </c>
      <c r="C169" s="2" t="s">
        <v>158</v>
      </c>
      <c r="D169" s="4">
        <v>46086</v>
      </c>
      <c r="E169" s="2" t="s">
        <v>58</v>
      </c>
      <c r="F169" s="2" t="s">
        <v>280</v>
      </c>
      <c r="G169" s="2" t="s">
        <v>60</v>
      </c>
      <c r="H169" s="2" t="s">
        <v>47</v>
      </c>
      <c r="I169" s="2">
        <v>3</v>
      </c>
      <c r="J169" s="5">
        <v>945761</v>
      </c>
      <c r="K169" s="5">
        <v>15000</v>
      </c>
      <c r="L169" s="2" t="s">
        <v>35</v>
      </c>
      <c r="M169" s="2" t="s">
        <v>36</v>
      </c>
      <c r="N169" s="2" t="s">
        <v>61</v>
      </c>
    </row>
    <row r="170" spans="1:14" x14ac:dyDescent="0.25">
      <c r="A170" s="2" t="s">
        <v>454</v>
      </c>
      <c r="B170" s="2" t="s">
        <v>223</v>
      </c>
      <c r="C170" s="2" t="s">
        <v>224</v>
      </c>
      <c r="D170" s="4">
        <v>46183</v>
      </c>
      <c r="E170" s="2" t="s">
        <v>80</v>
      </c>
      <c r="F170" s="2" t="s">
        <v>65</v>
      </c>
      <c r="G170" s="2" t="s">
        <v>33</v>
      </c>
      <c r="H170" s="2" t="s">
        <v>455</v>
      </c>
      <c r="I170" s="2">
        <v>2</v>
      </c>
      <c r="J170" s="5">
        <v>1522166</v>
      </c>
      <c r="K170" s="5">
        <v>25000</v>
      </c>
      <c r="L170" s="2" t="s">
        <v>35</v>
      </c>
      <c r="M170" s="2" t="s">
        <v>67</v>
      </c>
      <c r="N170" s="2" t="s">
        <v>61</v>
      </c>
    </row>
    <row r="171" spans="1:14" x14ac:dyDescent="0.25">
      <c r="A171" s="2" t="s">
        <v>456</v>
      </c>
      <c r="B171" s="2" t="s">
        <v>457</v>
      </c>
      <c r="C171" s="2" t="s">
        <v>260</v>
      </c>
      <c r="D171" s="4">
        <v>46176</v>
      </c>
      <c r="E171" s="2" t="s">
        <v>58</v>
      </c>
      <c r="F171" s="2" t="s">
        <v>65</v>
      </c>
      <c r="G171" s="2" t="s">
        <v>60</v>
      </c>
      <c r="H171" s="2" t="s">
        <v>66</v>
      </c>
      <c r="I171" s="2">
        <v>6</v>
      </c>
      <c r="J171" s="5">
        <v>1959325</v>
      </c>
      <c r="K171" s="5">
        <v>0</v>
      </c>
      <c r="L171" s="2" t="s">
        <v>35</v>
      </c>
      <c r="M171" s="2" t="s">
        <v>67</v>
      </c>
      <c r="N171" s="2" t="s">
        <v>61</v>
      </c>
    </row>
    <row r="172" spans="1:14" x14ac:dyDescent="0.25">
      <c r="A172" s="2" t="s">
        <v>458</v>
      </c>
      <c r="B172" s="2" t="s">
        <v>366</v>
      </c>
      <c r="C172" s="2" t="s">
        <v>266</v>
      </c>
      <c r="D172" s="4">
        <v>46055</v>
      </c>
      <c r="E172" s="2" t="s">
        <v>58</v>
      </c>
      <c r="F172" s="2" t="s">
        <v>65</v>
      </c>
      <c r="G172" s="2" t="s">
        <v>75</v>
      </c>
      <c r="H172" s="2" t="s">
        <v>54</v>
      </c>
      <c r="I172" s="2">
        <v>1</v>
      </c>
      <c r="J172" s="5">
        <v>380056</v>
      </c>
      <c r="K172" s="5">
        <v>35000</v>
      </c>
      <c r="L172" s="2" t="s">
        <v>35</v>
      </c>
      <c r="M172" s="2" t="s">
        <v>36</v>
      </c>
      <c r="N172" s="2" t="s">
        <v>61</v>
      </c>
    </row>
    <row r="173" spans="1:14" x14ac:dyDescent="0.25">
      <c r="A173" s="2" t="s">
        <v>459</v>
      </c>
      <c r="B173" s="2" t="s">
        <v>333</v>
      </c>
      <c r="C173" s="2" t="s">
        <v>334</v>
      </c>
      <c r="D173" s="4">
        <v>46120</v>
      </c>
      <c r="E173" s="2" t="s">
        <v>53</v>
      </c>
      <c r="F173" s="2" t="s">
        <v>65</v>
      </c>
      <c r="G173" s="2" t="s">
        <v>60</v>
      </c>
      <c r="H173" s="2" t="s">
        <v>47</v>
      </c>
      <c r="I173" s="2">
        <v>5</v>
      </c>
      <c r="J173" s="5">
        <v>1804780</v>
      </c>
      <c r="K173" s="5">
        <v>0</v>
      </c>
      <c r="L173" s="2" t="s">
        <v>35</v>
      </c>
      <c r="M173" s="2" t="s">
        <v>67</v>
      </c>
      <c r="N173" s="2" t="s">
        <v>37</v>
      </c>
    </row>
    <row r="174" spans="1:14" x14ac:dyDescent="0.25">
      <c r="A174" s="2" t="s">
        <v>460</v>
      </c>
      <c r="B174" s="2" t="s">
        <v>461</v>
      </c>
      <c r="C174" s="2" t="s">
        <v>152</v>
      </c>
      <c r="D174" s="4">
        <v>46132</v>
      </c>
      <c r="E174" s="2" t="s">
        <v>41</v>
      </c>
      <c r="F174" s="2" t="s">
        <v>32</v>
      </c>
      <c r="G174" s="2" t="s">
        <v>46</v>
      </c>
      <c r="H174" s="2" t="s">
        <v>34</v>
      </c>
      <c r="I174" s="2">
        <v>6</v>
      </c>
      <c r="J174" s="5">
        <v>544790</v>
      </c>
      <c r="K174" s="5">
        <v>25000</v>
      </c>
      <c r="L174" s="2" t="s">
        <v>245</v>
      </c>
      <c r="M174" s="2" t="s">
        <v>71</v>
      </c>
      <c r="N174" s="2" t="s">
        <v>61</v>
      </c>
    </row>
    <row r="175" spans="1:14" x14ac:dyDescent="0.25">
      <c r="A175" s="2" t="s">
        <v>462</v>
      </c>
      <c r="B175" s="2" t="s">
        <v>463</v>
      </c>
      <c r="C175" s="2" t="s">
        <v>40</v>
      </c>
      <c r="D175" s="4">
        <v>46026</v>
      </c>
      <c r="E175" s="2" t="s">
        <v>53</v>
      </c>
      <c r="F175" s="2" t="s">
        <v>32</v>
      </c>
      <c r="G175" s="2" t="s">
        <v>33</v>
      </c>
      <c r="H175" s="2" t="s">
        <v>47</v>
      </c>
      <c r="I175" s="2">
        <v>7</v>
      </c>
      <c r="J175" s="5">
        <v>403302</v>
      </c>
      <c r="K175" s="5">
        <v>50000</v>
      </c>
      <c r="L175" s="2" t="s">
        <v>48</v>
      </c>
      <c r="M175" s="2" t="s">
        <v>36</v>
      </c>
      <c r="N175" s="2" t="s">
        <v>37</v>
      </c>
    </row>
    <row r="176" spans="1:14" x14ac:dyDescent="0.25">
      <c r="A176" s="2" t="s">
        <v>464</v>
      </c>
      <c r="B176" s="2" t="s">
        <v>182</v>
      </c>
      <c r="C176" s="2" t="s">
        <v>200</v>
      </c>
      <c r="D176" s="4">
        <v>46181</v>
      </c>
      <c r="E176" s="2" t="s">
        <v>31</v>
      </c>
      <c r="F176" s="2" t="s">
        <v>32</v>
      </c>
      <c r="G176" s="2" t="s">
        <v>465</v>
      </c>
      <c r="H176" s="2" t="s">
        <v>47</v>
      </c>
      <c r="I176" s="2">
        <v>2</v>
      </c>
      <c r="J176" s="5">
        <v>1984889</v>
      </c>
      <c r="K176" s="5">
        <v>15000</v>
      </c>
      <c r="L176" s="2" t="s">
        <v>35</v>
      </c>
      <c r="M176" s="2" t="s">
        <v>67</v>
      </c>
      <c r="N176" s="2" t="s">
        <v>37</v>
      </c>
    </row>
    <row r="177" spans="1:14" x14ac:dyDescent="0.25">
      <c r="A177" s="2" t="s">
        <v>466</v>
      </c>
      <c r="B177" s="2" t="s">
        <v>218</v>
      </c>
      <c r="C177" s="2" t="s">
        <v>467</v>
      </c>
      <c r="D177" s="4">
        <v>46172</v>
      </c>
      <c r="E177" s="2" t="s">
        <v>80</v>
      </c>
      <c r="F177" s="2" t="s">
        <v>32</v>
      </c>
      <c r="G177" s="2" t="s">
        <v>81</v>
      </c>
      <c r="H177" s="2" t="s">
        <v>76</v>
      </c>
      <c r="I177" s="2">
        <v>2</v>
      </c>
      <c r="J177" s="5">
        <v>2389721</v>
      </c>
      <c r="K177" s="5">
        <v>15000</v>
      </c>
      <c r="L177" s="2" t="s">
        <v>35</v>
      </c>
      <c r="M177" s="2" t="s">
        <v>36</v>
      </c>
      <c r="N177" s="2" t="s">
        <v>61</v>
      </c>
    </row>
    <row r="178" spans="1:14" x14ac:dyDescent="0.25">
      <c r="A178" s="2" t="s">
        <v>468</v>
      </c>
      <c r="B178" s="2" t="s">
        <v>469</v>
      </c>
      <c r="C178" s="2" t="s">
        <v>470</v>
      </c>
      <c r="D178" s="2" t="s">
        <v>471</v>
      </c>
      <c r="E178" s="2" t="s">
        <v>31</v>
      </c>
      <c r="F178" s="2" t="s">
        <v>42</v>
      </c>
      <c r="G178" s="2" t="s">
        <v>81</v>
      </c>
      <c r="H178" s="2" t="s">
        <v>66</v>
      </c>
      <c r="I178" s="2">
        <v>7</v>
      </c>
      <c r="J178" s="5">
        <v>2246964</v>
      </c>
      <c r="K178" s="5">
        <v>50000</v>
      </c>
      <c r="L178" s="2" t="s">
        <v>35</v>
      </c>
      <c r="M178" s="2" t="s">
        <v>67</v>
      </c>
      <c r="N178" s="2" t="s">
        <v>61</v>
      </c>
    </row>
    <row r="179" spans="1:14" x14ac:dyDescent="0.25">
      <c r="A179" s="2" t="s">
        <v>472</v>
      </c>
      <c r="B179" s="2" t="s">
        <v>396</v>
      </c>
      <c r="C179" s="2" t="s">
        <v>241</v>
      </c>
      <c r="D179" s="4">
        <v>46144</v>
      </c>
      <c r="E179" s="2" t="s">
        <v>80</v>
      </c>
      <c r="F179" s="2" t="s">
        <v>32</v>
      </c>
      <c r="G179" s="2" t="s">
        <v>60</v>
      </c>
      <c r="H179" s="2" t="s">
        <v>66</v>
      </c>
      <c r="I179" s="2">
        <v>6</v>
      </c>
      <c r="J179" s="5">
        <v>2080427</v>
      </c>
      <c r="K179" s="5">
        <v>50000</v>
      </c>
      <c r="L179" s="2" t="s">
        <v>35</v>
      </c>
      <c r="M179" s="2" t="s">
        <v>36</v>
      </c>
      <c r="N179" s="2" t="s">
        <v>61</v>
      </c>
    </row>
    <row r="180" spans="1:14" x14ac:dyDescent="0.25">
      <c r="A180" s="2" t="s">
        <v>473</v>
      </c>
      <c r="B180" s="2" t="s">
        <v>463</v>
      </c>
      <c r="C180" s="2" t="s">
        <v>40</v>
      </c>
      <c r="D180" s="4">
        <v>46139</v>
      </c>
      <c r="E180" s="2" t="s">
        <v>31</v>
      </c>
      <c r="F180" s="2" t="s">
        <v>214</v>
      </c>
      <c r="G180" s="2" t="s">
        <v>46</v>
      </c>
      <c r="H180" s="2" t="s">
        <v>34</v>
      </c>
      <c r="I180" s="2">
        <v>2</v>
      </c>
      <c r="J180" s="5">
        <v>296966</v>
      </c>
      <c r="K180" s="5">
        <v>35000</v>
      </c>
      <c r="L180" s="2" t="s">
        <v>245</v>
      </c>
      <c r="M180" s="2" t="s">
        <v>36</v>
      </c>
      <c r="N180" s="2" t="s">
        <v>61</v>
      </c>
    </row>
    <row r="181" spans="1:14" x14ac:dyDescent="0.25">
      <c r="A181" s="2" t="s">
        <v>474</v>
      </c>
      <c r="B181" s="2" t="s">
        <v>475</v>
      </c>
      <c r="C181" s="2" t="s">
        <v>328</v>
      </c>
      <c r="D181" s="4">
        <v>46107</v>
      </c>
      <c r="E181" s="2" t="s">
        <v>80</v>
      </c>
      <c r="F181" s="2" t="s">
        <v>65</v>
      </c>
      <c r="G181" s="2" t="s">
        <v>81</v>
      </c>
      <c r="H181" s="2" t="s">
        <v>66</v>
      </c>
      <c r="I181" s="2">
        <v>4</v>
      </c>
      <c r="J181" s="5">
        <v>1696688</v>
      </c>
      <c r="K181" s="5">
        <v>15000</v>
      </c>
      <c r="L181" s="2" t="s">
        <v>35</v>
      </c>
      <c r="M181" s="2"/>
      <c r="N181" s="2" t="s">
        <v>61</v>
      </c>
    </row>
    <row r="182" spans="1:14" x14ac:dyDescent="0.25">
      <c r="A182" s="2" t="s">
        <v>476</v>
      </c>
      <c r="B182" s="2" t="s">
        <v>63</v>
      </c>
      <c r="C182" s="2" t="s">
        <v>64</v>
      </c>
      <c r="D182" s="4">
        <v>46052</v>
      </c>
      <c r="E182" s="2" t="s">
        <v>80</v>
      </c>
      <c r="F182" s="2" t="s">
        <v>65</v>
      </c>
      <c r="G182" s="2" t="s">
        <v>81</v>
      </c>
      <c r="H182" s="2" t="s">
        <v>34</v>
      </c>
      <c r="I182" s="2">
        <v>4</v>
      </c>
      <c r="J182" s="5">
        <v>717277</v>
      </c>
      <c r="K182" s="5">
        <v>25000</v>
      </c>
      <c r="L182" s="2" t="s">
        <v>35</v>
      </c>
      <c r="M182" s="2" t="s">
        <v>36</v>
      </c>
      <c r="N182" s="2" t="s">
        <v>61</v>
      </c>
    </row>
    <row r="183" spans="1:14" x14ac:dyDescent="0.25">
      <c r="A183" s="2" t="s">
        <v>477</v>
      </c>
      <c r="B183" s="2" t="s">
        <v>302</v>
      </c>
      <c r="C183" s="2" t="s">
        <v>111</v>
      </c>
      <c r="D183" s="4">
        <v>46067</v>
      </c>
      <c r="E183" s="2" t="s">
        <v>31</v>
      </c>
      <c r="F183" s="2" t="s">
        <v>42</v>
      </c>
      <c r="G183" s="2" t="s">
        <v>85</v>
      </c>
      <c r="H183" s="2" t="s">
        <v>54</v>
      </c>
      <c r="I183" s="2">
        <v>6</v>
      </c>
      <c r="J183" s="5">
        <v>1038322</v>
      </c>
      <c r="K183" s="5">
        <v>25000</v>
      </c>
      <c r="L183" s="2" t="s">
        <v>35</v>
      </c>
      <c r="M183" s="2" t="s">
        <v>71</v>
      </c>
      <c r="N183" s="2" t="s">
        <v>61</v>
      </c>
    </row>
    <row r="184" spans="1:14" x14ac:dyDescent="0.25">
      <c r="A184" s="2" t="s">
        <v>478</v>
      </c>
      <c r="B184" s="2" t="s">
        <v>392</v>
      </c>
      <c r="C184" s="2" t="s">
        <v>393</v>
      </c>
      <c r="D184" s="4">
        <v>46090</v>
      </c>
      <c r="E184" s="2" t="s">
        <v>58</v>
      </c>
      <c r="F184" s="2" t="s">
        <v>32</v>
      </c>
      <c r="G184" s="2" t="s">
        <v>85</v>
      </c>
      <c r="H184" s="2" t="s">
        <v>66</v>
      </c>
      <c r="I184" s="2">
        <v>7</v>
      </c>
      <c r="J184" s="5">
        <v>544422</v>
      </c>
      <c r="K184" s="5">
        <v>0</v>
      </c>
      <c r="L184" s="2" t="s">
        <v>35</v>
      </c>
      <c r="M184" s="2" t="s">
        <v>36</v>
      </c>
      <c r="N184" s="2" t="s">
        <v>37</v>
      </c>
    </row>
    <row r="185" spans="1:14" x14ac:dyDescent="0.25">
      <c r="A185" s="2" t="s">
        <v>479</v>
      </c>
      <c r="B185" s="2" t="s">
        <v>480</v>
      </c>
      <c r="C185" s="2" t="s">
        <v>101</v>
      </c>
      <c r="D185" s="4">
        <v>46117</v>
      </c>
      <c r="E185" s="2" t="s">
        <v>58</v>
      </c>
      <c r="F185" s="2" t="s">
        <v>65</v>
      </c>
      <c r="G185" s="2" t="s">
        <v>85</v>
      </c>
      <c r="H185" s="2" t="s">
        <v>34</v>
      </c>
      <c r="I185" s="2">
        <v>5</v>
      </c>
      <c r="J185" s="5">
        <v>1681750</v>
      </c>
      <c r="K185" s="5">
        <v>15000</v>
      </c>
      <c r="L185" s="2" t="s">
        <v>89</v>
      </c>
      <c r="M185" s="2" t="s">
        <v>49</v>
      </c>
      <c r="N185" s="2" t="s">
        <v>61</v>
      </c>
    </row>
    <row r="186" spans="1:14" x14ac:dyDescent="0.25">
      <c r="A186" s="2" t="s">
        <v>481</v>
      </c>
      <c r="B186" s="2" t="s">
        <v>252</v>
      </c>
      <c r="C186" s="2" t="s">
        <v>253</v>
      </c>
      <c r="D186" s="4">
        <v>46159</v>
      </c>
      <c r="E186" s="2" t="s">
        <v>31</v>
      </c>
      <c r="F186" s="2" t="s">
        <v>65</v>
      </c>
      <c r="G186" s="2" t="s">
        <v>46</v>
      </c>
      <c r="H186" s="2" t="s">
        <v>76</v>
      </c>
      <c r="I186" s="2">
        <v>3</v>
      </c>
      <c r="J186" s="5">
        <v>1706267</v>
      </c>
      <c r="K186" s="5">
        <v>25000</v>
      </c>
      <c r="L186" s="2" t="s">
        <v>35</v>
      </c>
      <c r="M186" s="2" t="s">
        <v>49</v>
      </c>
      <c r="N186" s="2" t="s">
        <v>61</v>
      </c>
    </row>
    <row r="187" spans="1:14" x14ac:dyDescent="0.25">
      <c r="A187" s="2" t="s">
        <v>482</v>
      </c>
      <c r="B187" s="2" t="s">
        <v>321</v>
      </c>
      <c r="C187" s="2" t="s">
        <v>92</v>
      </c>
      <c r="D187" s="4">
        <v>46160</v>
      </c>
      <c r="E187" s="2" t="s">
        <v>80</v>
      </c>
      <c r="F187" s="2" t="s">
        <v>42</v>
      </c>
      <c r="G187" s="2" t="s">
        <v>46</v>
      </c>
      <c r="H187" s="2" t="s">
        <v>76</v>
      </c>
      <c r="I187" s="2">
        <v>3</v>
      </c>
      <c r="J187" s="5">
        <v>1353891</v>
      </c>
      <c r="K187" s="5">
        <v>15000</v>
      </c>
      <c r="L187" s="2" t="s">
        <v>35</v>
      </c>
      <c r="M187" s="2" t="s">
        <v>36</v>
      </c>
      <c r="N187" s="2" t="s">
        <v>37</v>
      </c>
    </row>
    <row r="188" spans="1:14" x14ac:dyDescent="0.25">
      <c r="A188" s="2" t="s">
        <v>483</v>
      </c>
      <c r="B188" s="2" t="s">
        <v>347</v>
      </c>
      <c r="C188" s="2" t="s">
        <v>484</v>
      </c>
      <c r="D188" s="4">
        <v>46043</v>
      </c>
      <c r="E188" s="2" t="s">
        <v>53</v>
      </c>
      <c r="F188" s="2" t="s">
        <v>32</v>
      </c>
      <c r="G188" s="2" t="s">
        <v>60</v>
      </c>
      <c r="H188" s="2" t="s">
        <v>76</v>
      </c>
      <c r="I188" s="2">
        <v>1</v>
      </c>
      <c r="J188" s="5">
        <v>2094121</v>
      </c>
      <c r="K188" s="5">
        <v>50000</v>
      </c>
      <c r="L188" s="2" t="s">
        <v>35</v>
      </c>
      <c r="M188" s="2" t="s">
        <v>36</v>
      </c>
      <c r="N188" s="2" t="s">
        <v>37</v>
      </c>
    </row>
    <row r="189" spans="1:14" x14ac:dyDescent="0.25">
      <c r="A189" s="2" t="s">
        <v>485</v>
      </c>
      <c r="B189" s="2" t="s">
        <v>486</v>
      </c>
      <c r="C189" s="2" t="s">
        <v>170</v>
      </c>
      <c r="D189" s="2" t="s">
        <v>487</v>
      </c>
      <c r="E189" s="2" t="s">
        <v>41</v>
      </c>
      <c r="F189" s="2" t="s">
        <v>32</v>
      </c>
      <c r="G189" s="2" t="s">
        <v>46</v>
      </c>
      <c r="H189" s="2" t="s">
        <v>47</v>
      </c>
      <c r="I189" s="2">
        <v>6</v>
      </c>
      <c r="J189" s="5">
        <v>1688161</v>
      </c>
      <c r="K189" s="5">
        <v>50000</v>
      </c>
      <c r="L189" s="2" t="s">
        <v>35</v>
      </c>
      <c r="M189" s="2" t="s">
        <v>49</v>
      </c>
      <c r="N189" s="2" t="s">
        <v>61</v>
      </c>
    </row>
    <row r="190" spans="1:14" x14ac:dyDescent="0.25">
      <c r="A190" s="2" t="s">
        <v>488</v>
      </c>
      <c r="B190" s="2" t="s">
        <v>347</v>
      </c>
      <c r="C190" s="2" t="s">
        <v>276</v>
      </c>
      <c r="D190" s="4">
        <v>46079</v>
      </c>
      <c r="E190" s="2" t="s">
        <v>41</v>
      </c>
      <c r="F190" s="2" t="s">
        <v>59</v>
      </c>
      <c r="G190" s="2" t="s">
        <v>46</v>
      </c>
      <c r="H190" s="2" t="s">
        <v>34</v>
      </c>
      <c r="I190" s="2">
        <v>7</v>
      </c>
      <c r="J190" s="5">
        <v>971445</v>
      </c>
      <c r="K190" s="5">
        <v>35000</v>
      </c>
      <c r="L190" s="2" t="s">
        <v>35</v>
      </c>
      <c r="M190" s="2" t="s">
        <v>67</v>
      </c>
      <c r="N190" s="2" t="s">
        <v>37</v>
      </c>
    </row>
    <row r="191" spans="1:14" x14ac:dyDescent="0.25">
      <c r="A191" s="2" t="s">
        <v>489</v>
      </c>
      <c r="B191" s="2" t="s">
        <v>490</v>
      </c>
      <c r="C191" s="2" t="s">
        <v>45</v>
      </c>
      <c r="D191" s="4">
        <v>46163</v>
      </c>
      <c r="E191" s="2" t="s">
        <v>80</v>
      </c>
      <c r="F191" s="2" t="s">
        <v>42</v>
      </c>
      <c r="G191" s="2" t="s">
        <v>46</v>
      </c>
      <c r="H191" s="2" t="s">
        <v>54</v>
      </c>
      <c r="I191" s="2">
        <v>7</v>
      </c>
      <c r="J191" s="5">
        <v>475504</v>
      </c>
      <c r="K191" s="5">
        <v>15000</v>
      </c>
      <c r="L191" s="2" t="s">
        <v>35</v>
      </c>
      <c r="M191" s="2" t="s">
        <v>36</v>
      </c>
      <c r="N191" s="2" t="s">
        <v>37</v>
      </c>
    </row>
    <row r="192" spans="1:14" x14ac:dyDescent="0.25">
      <c r="A192" s="2" t="s">
        <v>491</v>
      </c>
      <c r="B192" s="2" t="s">
        <v>492</v>
      </c>
      <c r="C192" s="2" t="s">
        <v>165</v>
      </c>
      <c r="D192" s="4">
        <v>46182</v>
      </c>
      <c r="E192" s="2" t="s">
        <v>41</v>
      </c>
      <c r="F192" s="2" t="s">
        <v>32</v>
      </c>
      <c r="G192" s="2" t="s">
        <v>33</v>
      </c>
      <c r="H192" s="2" t="s">
        <v>47</v>
      </c>
      <c r="I192" s="2">
        <v>4</v>
      </c>
      <c r="J192" s="5">
        <v>1530854</v>
      </c>
      <c r="K192" s="5">
        <v>35000</v>
      </c>
      <c r="L192" s="2" t="s">
        <v>35</v>
      </c>
      <c r="M192" s="2" t="s">
        <v>36</v>
      </c>
      <c r="N192" s="2" t="s">
        <v>61</v>
      </c>
    </row>
    <row r="193" spans="1:14" x14ac:dyDescent="0.25">
      <c r="A193" s="2" t="s">
        <v>493</v>
      </c>
      <c r="B193" s="2" t="s">
        <v>486</v>
      </c>
      <c r="C193" s="2" t="s">
        <v>170</v>
      </c>
      <c r="D193" s="4">
        <v>46136</v>
      </c>
      <c r="E193" s="2" t="s">
        <v>80</v>
      </c>
      <c r="F193" s="2" t="s">
        <v>65</v>
      </c>
      <c r="G193" s="2" t="s">
        <v>33</v>
      </c>
      <c r="H193" s="2" t="s">
        <v>34</v>
      </c>
      <c r="I193" s="2">
        <v>6</v>
      </c>
      <c r="J193" s="5">
        <v>1100588</v>
      </c>
      <c r="K193" s="5">
        <v>25000</v>
      </c>
      <c r="L193" s="2" t="s">
        <v>35</v>
      </c>
      <c r="M193" s="2" t="s">
        <v>71</v>
      </c>
      <c r="N193" s="2" t="s">
        <v>61</v>
      </c>
    </row>
    <row r="194" spans="1:14" x14ac:dyDescent="0.25">
      <c r="A194" s="2" t="s">
        <v>494</v>
      </c>
      <c r="B194" s="2" t="s">
        <v>146</v>
      </c>
      <c r="C194" s="2" t="s">
        <v>40</v>
      </c>
      <c r="D194" s="4">
        <v>46041</v>
      </c>
      <c r="E194" s="2" t="s">
        <v>80</v>
      </c>
      <c r="F194" s="2" t="s">
        <v>32</v>
      </c>
      <c r="G194" s="2" t="s">
        <v>33</v>
      </c>
      <c r="H194" s="2" t="s">
        <v>66</v>
      </c>
      <c r="I194" s="2">
        <v>5</v>
      </c>
      <c r="J194" s="5">
        <v>1630943</v>
      </c>
      <c r="K194" s="5">
        <v>0</v>
      </c>
      <c r="L194" s="2" t="s">
        <v>35</v>
      </c>
      <c r="M194" s="2" t="s">
        <v>67</v>
      </c>
      <c r="N194" s="2" t="s">
        <v>61</v>
      </c>
    </row>
    <row r="195" spans="1:14" x14ac:dyDescent="0.25">
      <c r="A195" s="2" t="s">
        <v>495</v>
      </c>
      <c r="B195" s="2" t="s">
        <v>69</v>
      </c>
      <c r="C195" s="2" t="s">
        <v>70</v>
      </c>
      <c r="D195" s="4">
        <v>46177</v>
      </c>
      <c r="E195" s="2" t="s">
        <v>80</v>
      </c>
      <c r="F195" s="2" t="s">
        <v>59</v>
      </c>
      <c r="G195" s="2" t="s">
        <v>60</v>
      </c>
      <c r="H195" s="2" t="s">
        <v>76</v>
      </c>
      <c r="I195" s="2">
        <v>3</v>
      </c>
      <c r="J195" s="5">
        <v>698248</v>
      </c>
      <c r="K195" s="5">
        <v>50000</v>
      </c>
      <c r="L195" s="2" t="s">
        <v>35</v>
      </c>
      <c r="M195" s="2" t="s">
        <v>108</v>
      </c>
      <c r="N195" s="2" t="s">
        <v>61</v>
      </c>
    </row>
    <row r="196" spans="1:14" x14ac:dyDescent="0.25">
      <c r="A196" s="2" t="s">
        <v>496</v>
      </c>
      <c r="B196" s="2" t="s">
        <v>172</v>
      </c>
      <c r="C196" s="2" t="s">
        <v>173</v>
      </c>
      <c r="D196" s="4">
        <v>46190</v>
      </c>
      <c r="E196" s="2" t="s">
        <v>31</v>
      </c>
      <c r="F196" s="2" t="s">
        <v>59</v>
      </c>
      <c r="G196" s="2" t="s">
        <v>85</v>
      </c>
      <c r="H196" s="2" t="s">
        <v>76</v>
      </c>
      <c r="I196" s="2">
        <v>7</v>
      </c>
      <c r="J196" s="5">
        <v>2270197</v>
      </c>
      <c r="K196" s="5">
        <v>15000</v>
      </c>
      <c r="L196" s="2" t="s">
        <v>35</v>
      </c>
      <c r="M196" s="2" t="s">
        <v>67</v>
      </c>
      <c r="N196" s="2" t="s">
        <v>37</v>
      </c>
    </row>
    <row r="197" spans="1:14" x14ac:dyDescent="0.25">
      <c r="A197" s="2" t="s">
        <v>497</v>
      </c>
      <c r="B197" s="2" t="s">
        <v>498</v>
      </c>
      <c r="C197" s="2" t="s">
        <v>388</v>
      </c>
      <c r="D197" s="4">
        <v>46141</v>
      </c>
      <c r="E197" s="2" t="s">
        <v>41</v>
      </c>
      <c r="F197" s="2" t="s">
        <v>42</v>
      </c>
      <c r="G197" s="2" t="s">
        <v>60</v>
      </c>
      <c r="H197" s="2" t="s">
        <v>47</v>
      </c>
      <c r="I197" s="2">
        <v>3</v>
      </c>
      <c r="J197" s="5">
        <v>1548829</v>
      </c>
      <c r="K197" s="5">
        <v>0</v>
      </c>
      <c r="L197" s="2" t="s">
        <v>48</v>
      </c>
      <c r="M197" s="2" t="s">
        <v>49</v>
      </c>
      <c r="N197" s="2" t="s">
        <v>61</v>
      </c>
    </row>
    <row r="198" spans="1:14" x14ac:dyDescent="0.25">
      <c r="A198" s="2" t="s">
        <v>499</v>
      </c>
      <c r="B198" s="2" t="s">
        <v>149</v>
      </c>
      <c r="C198" s="2" t="s">
        <v>114</v>
      </c>
      <c r="D198" s="4">
        <v>46058</v>
      </c>
      <c r="E198" s="2" t="s">
        <v>80</v>
      </c>
      <c r="F198" s="2" t="s">
        <v>32</v>
      </c>
      <c r="G198" s="2" t="s">
        <v>85</v>
      </c>
      <c r="H198" s="2" t="s">
        <v>47</v>
      </c>
      <c r="I198" s="2">
        <v>6</v>
      </c>
      <c r="J198" s="5">
        <v>658320</v>
      </c>
      <c r="K198" s="5">
        <v>25000</v>
      </c>
      <c r="L198" s="2" t="s">
        <v>35</v>
      </c>
      <c r="M198" s="2" t="s">
        <v>71</v>
      </c>
      <c r="N198" s="2" t="s">
        <v>37</v>
      </c>
    </row>
    <row r="199" spans="1:14" x14ac:dyDescent="0.25">
      <c r="A199" s="2" t="s">
        <v>500</v>
      </c>
      <c r="B199" s="2" t="s">
        <v>192</v>
      </c>
      <c r="C199" s="2" t="s">
        <v>101</v>
      </c>
      <c r="D199" s="4">
        <v>46126</v>
      </c>
      <c r="E199" s="2" t="s">
        <v>58</v>
      </c>
      <c r="F199" s="2" t="s">
        <v>42</v>
      </c>
      <c r="G199" s="2" t="s">
        <v>85</v>
      </c>
      <c r="H199" s="2" t="s">
        <v>66</v>
      </c>
      <c r="I199" s="2"/>
      <c r="J199" s="5"/>
      <c r="K199" s="5">
        <v>25000</v>
      </c>
      <c r="L199" s="2" t="s">
        <v>35</v>
      </c>
      <c r="M199" s="2" t="s">
        <v>36</v>
      </c>
      <c r="N199" s="2" t="s">
        <v>37</v>
      </c>
    </row>
    <row r="200" spans="1:14" x14ac:dyDescent="0.25">
      <c r="A200" s="2" t="s">
        <v>501</v>
      </c>
      <c r="B200" s="2" t="s">
        <v>290</v>
      </c>
      <c r="C200" s="2" t="s">
        <v>104</v>
      </c>
      <c r="D200" s="4">
        <v>46075</v>
      </c>
      <c r="E200" s="2" t="s">
        <v>80</v>
      </c>
      <c r="F200" s="2" t="s">
        <v>59</v>
      </c>
      <c r="G200" s="2" t="s">
        <v>75</v>
      </c>
      <c r="H200" s="2" t="s">
        <v>66</v>
      </c>
      <c r="I200" s="2">
        <v>5</v>
      </c>
      <c r="J200" s="5">
        <v>1758446</v>
      </c>
      <c r="K200" s="5">
        <v>0</v>
      </c>
      <c r="L200" s="2" t="s">
        <v>123</v>
      </c>
      <c r="M200" s="2" t="s">
        <v>36</v>
      </c>
      <c r="N200" s="2" t="s">
        <v>61</v>
      </c>
    </row>
    <row r="201" spans="1:14" x14ac:dyDescent="0.25">
      <c r="A201" s="2" t="s">
        <v>502</v>
      </c>
      <c r="B201" s="2" t="s">
        <v>503</v>
      </c>
      <c r="C201" s="2" t="s">
        <v>141</v>
      </c>
      <c r="D201" s="4">
        <v>46049</v>
      </c>
      <c r="E201" s="2" t="s">
        <v>31</v>
      </c>
      <c r="F201" s="2" t="s">
        <v>65</v>
      </c>
      <c r="G201" s="2" t="s">
        <v>60</v>
      </c>
      <c r="H201" s="2" t="s">
        <v>66</v>
      </c>
      <c r="I201" s="2">
        <v>1</v>
      </c>
      <c r="J201" s="5">
        <v>2439059</v>
      </c>
      <c r="K201" s="5">
        <v>15000</v>
      </c>
      <c r="L201" s="2" t="s">
        <v>48</v>
      </c>
      <c r="M201" s="2" t="s">
        <v>67</v>
      </c>
      <c r="N201" s="2" t="s">
        <v>61</v>
      </c>
    </row>
    <row r="202" spans="1:14" x14ac:dyDescent="0.25">
      <c r="A202" s="2" t="s">
        <v>504</v>
      </c>
      <c r="B202" s="2" t="s">
        <v>505</v>
      </c>
      <c r="C202" s="2" t="s">
        <v>470</v>
      </c>
      <c r="D202" s="4">
        <v>46097</v>
      </c>
      <c r="E202" s="2" t="s">
        <v>31</v>
      </c>
      <c r="F202" s="2" t="s">
        <v>32</v>
      </c>
      <c r="G202" s="2" t="s">
        <v>60</v>
      </c>
      <c r="H202" s="2" t="s">
        <v>432</v>
      </c>
      <c r="I202" s="2">
        <v>4</v>
      </c>
      <c r="J202" s="5">
        <v>2319474</v>
      </c>
      <c r="K202" s="5">
        <v>0</v>
      </c>
      <c r="L202" s="2" t="s">
        <v>35</v>
      </c>
      <c r="M202" s="2" t="s">
        <v>36</v>
      </c>
      <c r="N202" s="2" t="s">
        <v>61</v>
      </c>
    </row>
    <row r="203" spans="1:14" x14ac:dyDescent="0.25">
      <c r="A203" s="2" t="s">
        <v>506</v>
      </c>
      <c r="B203" s="2" t="s">
        <v>507</v>
      </c>
      <c r="C203" s="2" t="s">
        <v>70</v>
      </c>
      <c r="D203" s="4">
        <v>46056</v>
      </c>
      <c r="E203" s="2" t="s">
        <v>31</v>
      </c>
      <c r="F203" s="2" t="s">
        <v>42</v>
      </c>
      <c r="G203" s="2" t="s">
        <v>85</v>
      </c>
      <c r="H203" s="2" t="s">
        <v>66</v>
      </c>
      <c r="I203" s="2">
        <v>4</v>
      </c>
      <c r="J203" s="5" t="s">
        <v>508</v>
      </c>
      <c r="K203" s="5">
        <v>35000</v>
      </c>
      <c r="L203" s="2" t="s">
        <v>35</v>
      </c>
      <c r="M203" s="2" t="s">
        <v>36</v>
      </c>
      <c r="N203" s="2" t="s">
        <v>37</v>
      </c>
    </row>
    <row r="204" spans="1:14" x14ac:dyDescent="0.25">
      <c r="A204" s="2" t="s">
        <v>509</v>
      </c>
      <c r="B204" s="2" t="s">
        <v>510</v>
      </c>
      <c r="C204" s="2" t="s">
        <v>88</v>
      </c>
      <c r="D204" s="4">
        <v>46193</v>
      </c>
      <c r="E204" s="2" t="s">
        <v>31</v>
      </c>
      <c r="F204" s="2" t="s">
        <v>59</v>
      </c>
      <c r="G204" s="2" t="s">
        <v>33</v>
      </c>
      <c r="H204" s="2" t="s">
        <v>34</v>
      </c>
      <c r="I204" s="2">
        <v>5</v>
      </c>
      <c r="J204" s="5">
        <v>2111371</v>
      </c>
      <c r="K204" s="5">
        <v>15000</v>
      </c>
      <c r="L204" s="2" t="s">
        <v>35</v>
      </c>
      <c r="M204" s="2" t="s">
        <v>67</v>
      </c>
      <c r="N204" s="2" t="s">
        <v>61</v>
      </c>
    </row>
    <row r="205" spans="1:14" x14ac:dyDescent="0.25">
      <c r="A205" s="2" t="s">
        <v>511</v>
      </c>
      <c r="B205" s="2" t="s">
        <v>135</v>
      </c>
      <c r="C205" s="2" t="s">
        <v>136</v>
      </c>
      <c r="D205" s="4">
        <v>46137</v>
      </c>
      <c r="E205" s="2" t="s">
        <v>41</v>
      </c>
      <c r="F205" s="2" t="s">
        <v>59</v>
      </c>
      <c r="G205" s="2" t="s">
        <v>60</v>
      </c>
      <c r="H205" s="2" t="s">
        <v>76</v>
      </c>
      <c r="I205" s="2">
        <v>5</v>
      </c>
      <c r="J205" s="5">
        <v>388309</v>
      </c>
      <c r="K205" s="5">
        <v>35000</v>
      </c>
      <c r="L205" s="2" t="s">
        <v>48</v>
      </c>
      <c r="M205" s="2" t="s">
        <v>49</v>
      </c>
      <c r="N205" s="2" t="s">
        <v>61</v>
      </c>
    </row>
    <row r="206" spans="1:14" x14ac:dyDescent="0.25">
      <c r="A206" s="2" t="s">
        <v>512</v>
      </c>
      <c r="B206" s="2" t="s">
        <v>323</v>
      </c>
      <c r="C206" s="2" t="s">
        <v>263</v>
      </c>
      <c r="D206" s="4">
        <v>46046</v>
      </c>
      <c r="E206" s="2" t="s">
        <v>80</v>
      </c>
      <c r="F206" s="2" t="s">
        <v>59</v>
      </c>
      <c r="G206" s="2" t="s">
        <v>46</v>
      </c>
      <c r="H206" s="2" t="s">
        <v>34</v>
      </c>
      <c r="I206" s="2">
        <v>3</v>
      </c>
      <c r="J206" s="5">
        <v>1327589</v>
      </c>
      <c r="K206" s="5">
        <v>35000</v>
      </c>
      <c r="L206" s="2" t="s">
        <v>35</v>
      </c>
      <c r="M206" s="2" t="s">
        <v>36</v>
      </c>
      <c r="N206" s="2" t="s">
        <v>37</v>
      </c>
    </row>
    <row r="207" spans="1:14" x14ac:dyDescent="0.25">
      <c r="A207" s="2" t="s">
        <v>513</v>
      </c>
      <c r="B207" s="2" t="s">
        <v>424</v>
      </c>
      <c r="C207" s="2" t="s">
        <v>79</v>
      </c>
      <c r="D207" s="4">
        <v>46068</v>
      </c>
      <c r="E207" s="2" t="s">
        <v>53</v>
      </c>
      <c r="F207" s="2" t="s">
        <v>65</v>
      </c>
      <c r="G207" s="2" t="s">
        <v>60</v>
      </c>
      <c r="H207" s="2" t="s">
        <v>54</v>
      </c>
      <c r="I207" s="2">
        <v>4</v>
      </c>
      <c r="J207" s="5">
        <v>1932260</v>
      </c>
      <c r="K207" s="5">
        <v>35000</v>
      </c>
      <c r="L207" s="2" t="s">
        <v>245</v>
      </c>
      <c r="M207" s="2" t="s">
        <v>67</v>
      </c>
      <c r="N207" s="2" t="s">
        <v>61</v>
      </c>
    </row>
    <row r="208" spans="1:14" x14ac:dyDescent="0.25">
      <c r="A208" s="2" t="s">
        <v>514</v>
      </c>
      <c r="B208" s="2" t="s">
        <v>430</v>
      </c>
      <c r="C208" s="2" t="s">
        <v>45</v>
      </c>
      <c r="D208" s="4">
        <v>46063</v>
      </c>
      <c r="E208" s="2" t="s">
        <v>31</v>
      </c>
      <c r="F208" s="2" t="s">
        <v>59</v>
      </c>
      <c r="G208" s="2" t="s">
        <v>515</v>
      </c>
      <c r="H208" s="2" t="s">
        <v>76</v>
      </c>
      <c r="I208" s="2">
        <v>3</v>
      </c>
      <c r="J208" s="5">
        <v>1268300</v>
      </c>
      <c r="K208" s="5">
        <v>50000</v>
      </c>
      <c r="L208" s="2" t="s">
        <v>35</v>
      </c>
      <c r="M208" s="2" t="s">
        <v>67</v>
      </c>
      <c r="N208" s="2" t="s">
        <v>61</v>
      </c>
    </row>
    <row r="209" spans="1:14" x14ac:dyDescent="0.25">
      <c r="A209" s="2" t="s">
        <v>516</v>
      </c>
      <c r="B209" s="2" t="s">
        <v>517</v>
      </c>
      <c r="C209" s="2" t="s">
        <v>470</v>
      </c>
      <c r="D209" s="4">
        <v>46042</v>
      </c>
      <c r="E209" s="2" t="s">
        <v>31</v>
      </c>
      <c r="F209" s="2" t="s">
        <v>32</v>
      </c>
      <c r="G209" s="2" t="s">
        <v>85</v>
      </c>
      <c r="H209" s="2" t="s">
        <v>76</v>
      </c>
      <c r="I209" s="2">
        <v>7</v>
      </c>
      <c r="J209" s="5">
        <v>561343</v>
      </c>
      <c r="K209" s="5">
        <v>50000</v>
      </c>
      <c r="L209" s="2" t="s">
        <v>35</v>
      </c>
      <c r="M209" s="2" t="s">
        <v>36</v>
      </c>
      <c r="N209" s="2" t="s">
        <v>61</v>
      </c>
    </row>
    <row r="210" spans="1:14" x14ac:dyDescent="0.25">
      <c r="A210" s="2" t="s">
        <v>518</v>
      </c>
      <c r="B210" s="2" t="s">
        <v>519</v>
      </c>
      <c r="C210" s="2" t="s">
        <v>377</v>
      </c>
      <c r="D210" s="4">
        <v>46029</v>
      </c>
      <c r="E210" s="2" t="s">
        <v>31</v>
      </c>
      <c r="F210" s="2" t="s">
        <v>59</v>
      </c>
      <c r="G210" s="2" t="s">
        <v>81</v>
      </c>
      <c r="H210" s="2" t="s">
        <v>54</v>
      </c>
      <c r="I210" s="2">
        <v>4</v>
      </c>
      <c r="J210" s="5">
        <v>427004</v>
      </c>
      <c r="K210" s="5">
        <v>35000</v>
      </c>
      <c r="L210" s="2" t="s">
        <v>35</v>
      </c>
      <c r="M210" s="2" t="s">
        <v>36</v>
      </c>
      <c r="N210" s="2" t="s">
        <v>37</v>
      </c>
    </row>
    <row r="211" spans="1:14" x14ac:dyDescent="0.25">
      <c r="A211" s="2" t="s">
        <v>520</v>
      </c>
      <c r="B211" s="2" t="s">
        <v>164</v>
      </c>
      <c r="C211" s="2" t="s">
        <v>165</v>
      </c>
      <c r="D211" s="4">
        <v>46057</v>
      </c>
      <c r="E211" s="2" t="s">
        <v>331</v>
      </c>
      <c r="F211" s="2" t="s">
        <v>59</v>
      </c>
      <c r="G211" s="2" t="s">
        <v>85</v>
      </c>
      <c r="H211" s="2" t="s">
        <v>47</v>
      </c>
      <c r="I211" s="2">
        <v>4</v>
      </c>
      <c r="J211" s="5">
        <v>1492000</v>
      </c>
      <c r="K211" s="5">
        <v>35000</v>
      </c>
      <c r="L211" s="2" t="s">
        <v>35</v>
      </c>
      <c r="M211" s="2" t="s">
        <v>67</v>
      </c>
      <c r="N211" s="2" t="s">
        <v>37</v>
      </c>
    </row>
    <row r="212" spans="1:14" x14ac:dyDescent="0.25">
      <c r="A212" s="2" t="s">
        <v>521</v>
      </c>
      <c r="B212" s="2" t="s">
        <v>392</v>
      </c>
      <c r="C212" s="2" t="s">
        <v>393</v>
      </c>
      <c r="D212" s="4">
        <v>46064</v>
      </c>
      <c r="E212" s="2" t="s">
        <v>53</v>
      </c>
      <c r="F212" s="2" t="s">
        <v>159</v>
      </c>
      <c r="G212" s="2" t="s">
        <v>85</v>
      </c>
      <c r="H212" s="2" t="s">
        <v>54</v>
      </c>
      <c r="I212" s="2">
        <v>5</v>
      </c>
      <c r="J212" s="5">
        <v>835502</v>
      </c>
      <c r="K212" s="5">
        <v>0</v>
      </c>
      <c r="L212" s="2" t="s">
        <v>35</v>
      </c>
      <c r="M212" s="2" t="s">
        <v>67</v>
      </c>
      <c r="N212" s="2" t="s">
        <v>61</v>
      </c>
    </row>
    <row r="213" spans="1:14" x14ac:dyDescent="0.25">
      <c r="A213" s="2" t="s">
        <v>522</v>
      </c>
      <c r="B213" s="2" t="s">
        <v>399</v>
      </c>
      <c r="C213" s="2" t="s">
        <v>111</v>
      </c>
      <c r="D213" s="4">
        <v>46092</v>
      </c>
      <c r="E213" s="2" t="s">
        <v>53</v>
      </c>
      <c r="F213" s="2" t="s">
        <v>42</v>
      </c>
      <c r="G213" s="2" t="s">
        <v>60</v>
      </c>
      <c r="H213" s="2" t="s">
        <v>54</v>
      </c>
      <c r="I213" s="2">
        <v>3</v>
      </c>
      <c r="J213" s="5">
        <v>763810</v>
      </c>
      <c r="K213" s="5">
        <v>35000</v>
      </c>
      <c r="L213" s="2" t="s">
        <v>35</v>
      </c>
      <c r="M213" s="2" t="s">
        <v>36</v>
      </c>
      <c r="N213" s="2" t="s">
        <v>61</v>
      </c>
    </row>
    <row r="214" spans="1:14" x14ac:dyDescent="0.25">
      <c r="A214" s="2" t="s">
        <v>523</v>
      </c>
      <c r="B214" s="2" t="s">
        <v>438</v>
      </c>
      <c r="C214" s="2" t="s">
        <v>244</v>
      </c>
      <c r="D214" s="4">
        <v>46199</v>
      </c>
      <c r="E214" s="2" t="s">
        <v>41</v>
      </c>
      <c r="F214" s="2" t="s">
        <v>42</v>
      </c>
      <c r="G214" s="2" t="s">
        <v>85</v>
      </c>
      <c r="H214" s="2" t="s">
        <v>66</v>
      </c>
      <c r="I214" s="2">
        <v>1</v>
      </c>
      <c r="J214" s="5">
        <v>1413205</v>
      </c>
      <c r="K214" s="5">
        <v>35000</v>
      </c>
      <c r="L214" s="2" t="s">
        <v>35</v>
      </c>
      <c r="M214" s="2" t="s">
        <v>67</v>
      </c>
      <c r="N214" s="2" t="s">
        <v>61</v>
      </c>
    </row>
    <row r="215" spans="1:14" x14ac:dyDescent="0.25">
      <c r="A215" s="2" t="s">
        <v>524</v>
      </c>
      <c r="B215" s="2" t="s">
        <v>240</v>
      </c>
      <c r="C215" s="2" t="s">
        <v>241</v>
      </c>
      <c r="D215" s="4">
        <v>46046</v>
      </c>
      <c r="E215" s="2" t="s">
        <v>58</v>
      </c>
      <c r="F215" s="2" t="s">
        <v>42</v>
      </c>
      <c r="G215" s="2" t="s">
        <v>81</v>
      </c>
      <c r="H215" s="2" t="s">
        <v>34</v>
      </c>
      <c r="I215" s="2">
        <v>1</v>
      </c>
      <c r="J215" s="5">
        <v>187270</v>
      </c>
      <c r="K215" s="5">
        <v>35000</v>
      </c>
      <c r="L215" s="2" t="s">
        <v>89</v>
      </c>
      <c r="M215" s="2" t="s">
        <v>36</v>
      </c>
      <c r="N215" s="2" t="s">
        <v>61</v>
      </c>
    </row>
    <row r="216" spans="1:14" x14ac:dyDescent="0.25">
      <c r="A216" s="2" t="s">
        <v>525</v>
      </c>
      <c r="B216" s="2" t="s">
        <v>56</v>
      </c>
      <c r="C216" s="2" t="s">
        <v>57</v>
      </c>
      <c r="D216" s="4">
        <v>46129</v>
      </c>
      <c r="E216" s="2" t="s">
        <v>31</v>
      </c>
      <c r="F216" s="2" t="s">
        <v>42</v>
      </c>
      <c r="G216" s="2" t="s">
        <v>46</v>
      </c>
      <c r="H216" s="2" t="s">
        <v>47</v>
      </c>
      <c r="I216" s="2">
        <v>7</v>
      </c>
      <c r="J216" s="5">
        <v>2269581</v>
      </c>
      <c r="K216" s="5">
        <v>0</v>
      </c>
      <c r="L216" s="2" t="s">
        <v>35</v>
      </c>
      <c r="M216" s="2" t="s">
        <v>36</v>
      </c>
      <c r="N216" s="2" t="s">
        <v>37</v>
      </c>
    </row>
    <row r="217" spans="1:14" x14ac:dyDescent="0.25">
      <c r="A217" s="2" t="s">
        <v>526</v>
      </c>
      <c r="B217" s="2" t="s">
        <v>146</v>
      </c>
      <c r="C217" s="2" t="s">
        <v>40</v>
      </c>
      <c r="D217" s="4">
        <v>46082</v>
      </c>
      <c r="E217" s="2" t="s">
        <v>80</v>
      </c>
      <c r="F217" s="2" t="s">
        <v>65</v>
      </c>
      <c r="G217" s="2" t="s">
        <v>60</v>
      </c>
      <c r="H217" s="2" t="s">
        <v>34</v>
      </c>
      <c r="I217" s="2">
        <v>3</v>
      </c>
      <c r="J217" s="5">
        <v>1016658</v>
      </c>
      <c r="K217" s="5">
        <v>0</v>
      </c>
      <c r="L217" s="2" t="s">
        <v>35</v>
      </c>
      <c r="M217" s="2" t="s">
        <v>67</v>
      </c>
      <c r="N217" s="2" t="s">
        <v>37</v>
      </c>
    </row>
    <row r="218" spans="1:14" x14ac:dyDescent="0.25">
      <c r="A218" s="2" t="s">
        <v>527</v>
      </c>
      <c r="B218" s="2" t="s">
        <v>528</v>
      </c>
      <c r="C218" s="2" t="s">
        <v>170</v>
      </c>
      <c r="D218" s="4">
        <v>46039</v>
      </c>
      <c r="E218" s="2" t="s">
        <v>41</v>
      </c>
      <c r="F218" s="2" t="s">
        <v>32</v>
      </c>
      <c r="G218" s="2" t="s">
        <v>46</v>
      </c>
      <c r="H218" s="2" t="s">
        <v>47</v>
      </c>
      <c r="I218" s="2">
        <v>3</v>
      </c>
      <c r="J218" s="5">
        <v>1287935</v>
      </c>
      <c r="K218" s="5">
        <v>50000</v>
      </c>
      <c r="L218" s="2" t="s">
        <v>35</v>
      </c>
      <c r="M218" s="2" t="s">
        <v>71</v>
      </c>
      <c r="N218" s="2" t="s">
        <v>61</v>
      </c>
    </row>
    <row r="219" spans="1:14" x14ac:dyDescent="0.25">
      <c r="A219" s="2" t="s">
        <v>529</v>
      </c>
      <c r="B219" s="2" t="s">
        <v>530</v>
      </c>
      <c r="C219" s="2" t="s">
        <v>382</v>
      </c>
      <c r="D219" s="4">
        <v>46160</v>
      </c>
      <c r="E219" s="2" t="s">
        <v>41</v>
      </c>
      <c r="F219" s="2" t="s">
        <v>42</v>
      </c>
      <c r="G219" s="2" t="s">
        <v>33</v>
      </c>
      <c r="H219" s="2" t="s">
        <v>34</v>
      </c>
      <c r="I219" s="2">
        <v>1</v>
      </c>
      <c r="J219" s="5">
        <v>839151</v>
      </c>
      <c r="K219" s="5">
        <v>25000</v>
      </c>
      <c r="L219" s="2" t="s">
        <v>35</v>
      </c>
      <c r="M219" s="2" t="s">
        <v>49</v>
      </c>
      <c r="N219" s="2" t="s">
        <v>37</v>
      </c>
    </row>
    <row r="220" spans="1:14" x14ac:dyDescent="0.25">
      <c r="A220" s="2" t="s">
        <v>531</v>
      </c>
      <c r="B220" s="2" t="s">
        <v>532</v>
      </c>
      <c r="C220" s="2" t="s">
        <v>533</v>
      </c>
      <c r="D220" s="4">
        <v>46193</v>
      </c>
      <c r="E220" s="2" t="s">
        <v>41</v>
      </c>
      <c r="F220" s="2" t="s">
        <v>59</v>
      </c>
      <c r="G220" s="2" t="s">
        <v>46</v>
      </c>
      <c r="H220" s="2" t="s">
        <v>34</v>
      </c>
      <c r="I220" s="2">
        <v>3</v>
      </c>
      <c r="J220" s="5">
        <v>2142201</v>
      </c>
      <c r="K220" s="5">
        <v>0</v>
      </c>
      <c r="L220" s="2" t="s">
        <v>35</v>
      </c>
      <c r="M220" s="2" t="s">
        <v>71</v>
      </c>
      <c r="N220" s="2" t="s">
        <v>61</v>
      </c>
    </row>
    <row r="221" spans="1:14" x14ac:dyDescent="0.25">
      <c r="A221" s="2" t="s">
        <v>534</v>
      </c>
      <c r="B221" s="2" t="s">
        <v>505</v>
      </c>
      <c r="C221" s="2" t="s">
        <v>470</v>
      </c>
      <c r="D221" s="4">
        <v>46028</v>
      </c>
      <c r="E221" s="2" t="s">
        <v>53</v>
      </c>
      <c r="F221" s="2" t="s">
        <v>65</v>
      </c>
      <c r="G221" s="2" t="s">
        <v>81</v>
      </c>
      <c r="H221" s="2" t="s">
        <v>34</v>
      </c>
      <c r="I221" s="2">
        <v>2</v>
      </c>
      <c r="J221" s="5">
        <v>640329</v>
      </c>
      <c r="K221" s="5">
        <v>25000</v>
      </c>
      <c r="L221" s="2" t="s">
        <v>35</v>
      </c>
      <c r="M221" s="2" t="s">
        <v>36</v>
      </c>
      <c r="N221" s="2" t="s">
        <v>37</v>
      </c>
    </row>
    <row r="222" spans="1:14" x14ac:dyDescent="0.25">
      <c r="A222" s="2" t="s">
        <v>535</v>
      </c>
      <c r="B222" s="2" t="s">
        <v>231</v>
      </c>
      <c r="C222" s="2" t="s">
        <v>198</v>
      </c>
      <c r="D222" s="4">
        <v>46098</v>
      </c>
      <c r="E222" s="2" t="s">
        <v>53</v>
      </c>
      <c r="F222" s="2" t="s">
        <v>59</v>
      </c>
      <c r="G222" s="2" t="s">
        <v>75</v>
      </c>
      <c r="H222" s="2" t="s">
        <v>66</v>
      </c>
      <c r="I222" s="2">
        <v>4</v>
      </c>
      <c r="J222" s="5">
        <v>967298</v>
      </c>
      <c r="K222" s="5">
        <v>15000</v>
      </c>
      <c r="L222" s="2" t="s">
        <v>35</v>
      </c>
      <c r="M222" s="2" t="s">
        <v>67</v>
      </c>
      <c r="N222" s="2" t="s">
        <v>61</v>
      </c>
    </row>
    <row r="223" spans="1:14" x14ac:dyDescent="0.25">
      <c r="A223" s="2" t="s">
        <v>536</v>
      </c>
      <c r="B223" s="2" t="s">
        <v>51</v>
      </c>
      <c r="C223" s="2" t="s">
        <v>52</v>
      </c>
      <c r="D223" s="4">
        <v>46104</v>
      </c>
      <c r="E223" s="2" t="s">
        <v>58</v>
      </c>
      <c r="F223" s="2" t="s">
        <v>42</v>
      </c>
      <c r="G223" s="2" t="s">
        <v>75</v>
      </c>
      <c r="H223" s="2" t="s">
        <v>66</v>
      </c>
      <c r="I223" s="2">
        <v>7</v>
      </c>
      <c r="J223" s="5">
        <v>286125</v>
      </c>
      <c r="K223" s="5">
        <v>50000</v>
      </c>
      <c r="L223" s="2" t="s">
        <v>89</v>
      </c>
      <c r="M223" s="2" t="s">
        <v>36</v>
      </c>
      <c r="N223" s="2" t="s">
        <v>37</v>
      </c>
    </row>
    <row r="224" spans="1:14" x14ac:dyDescent="0.25">
      <c r="A224" s="2" t="s">
        <v>537</v>
      </c>
      <c r="B224" s="2" t="s">
        <v>538</v>
      </c>
      <c r="C224" s="2" t="s">
        <v>104</v>
      </c>
      <c r="D224" s="4">
        <v>46075</v>
      </c>
      <c r="E224" s="2" t="s">
        <v>31</v>
      </c>
      <c r="F224" s="2" t="s">
        <v>59</v>
      </c>
      <c r="G224" s="2" t="s">
        <v>46</v>
      </c>
      <c r="H224" s="2" t="s">
        <v>66</v>
      </c>
      <c r="I224" s="2">
        <v>6</v>
      </c>
      <c r="J224" s="5">
        <v>2382037</v>
      </c>
      <c r="K224" s="5">
        <v>0</v>
      </c>
      <c r="L224" s="2" t="s">
        <v>89</v>
      </c>
      <c r="M224" s="2" t="s">
        <v>162</v>
      </c>
      <c r="N224" s="2" t="s">
        <v>61</v>
      </c>
    </row>
    <row r="225" spans="1:14" x14ac:dyDescent="0.25">
      <c r="A225" s="2" t="s">
        <v>539</v>
      </c>
      <c r="B225" s="2" t="s">
        <v>216</v>
      </c>
      <c r="C225" s="2" t="s">
        <v>133</v>
      </c>
      <c r="D225" s="4">
        <v>46184</v>
      </c>
      <c r="E225" s="2" t="s">
        <v>348</v>
      </c>
      <c r="F225" s="2" t="s">
        <v>42</v>
      </c>
      <c r="G225" s="2" t="s">
        <v>85</v>
      </c>
      <c r="H225" s="2" t="s">
        <v>34</v>
      </c>
      <c r="I225" s="2">
        <v>7</v>
      </c>
      <c r="J225" s="5">
        <v>145344</v>
      </c>
      <c r="K225" s="5">
        <v>0</v>
      </c>
      <c r="L225" s="2" t="s">
        <v>35</v>
      </c>
      <c r="M225" s="2" t="s">
        <v>49</v>
      </c>
      <c r="N225" s="2" t="s">
        <v>61</v>
      </c>
    </row>
    <row r="226" spans="1:14" x14ac:dyDescent="0.25">
      <c r="A226" s="2" t="s">
        <v>540</v>
      </c>
      <c r="B226" s="2" t="s">
        <v>364</v>
      </c>
      <c r="C226" s="2" t="s">
        <v>70</v>
      </c>
      <c r="D226" s="4">
        <v>46174</v>
      </c>
      <c r="E226" s="2" t="s">
        <v>41</v>
      </c>
      <c r="F226" s="2" t="s">
        <v>32</v>
      </c>
      <c r="G226" s="2" t="s">
        <v>85</v>
      </c>
      <c r="H226" s="2" t="s">
        <v>34</v>
      </c>
      <c r="I226" s="2">
        <v>2</v>
      </c>
      <c r="J226" s="5">
        <v>2422031</v>
      </c>
      <c r="K226" s="5">
        <v>15000</v>
      </c>
      <c r="L226" s="2" t="s">
        <v>35</v>
      </c>
      <c r="M226" s="2" t="s">
        <v>36</v>
      </c>
      <c r="N226" s="2" t="s">
        <v>61</v>
      </c>
    </row>
    <row r="227" spans="1:14" x14ac:dyDescent="0.25">
      <c r="A227" s="2" t="s">
        <v>541</v>
      </c>
      <c r="B227" s="2" t="s">
        <v>169</v>
      </c>
      <c r="C227" s="2" t="s">
        <v>170</v>
      </c>
      <c r="D227" s="4">
        <v>46068</v>
      </c>
      <c r="E227" s="2" t="s">
        <v>31</v>
      </c>
      <c r="F227" s="2" t="s">
        <v>32</v>
      </c>
      <c r="G227" s="2" t="s">
        <v>60</v>
      </c>
      <c r="H227" s="2" t="s">
        <v>54</v>
      </c>
      <c r="I227" s="2">
        <v>3</v>
      </c>
      <c r="J227" s="5">
        <v>1164253</v>
      </c>
      <c r="K227" s="5">
        <v>25000</v>
      </c>
      <c r="L227" s="2" t="s">
        <v>35</v>
      </c>
      <c r="M227" s="2" t="s">
        <v>49</v>
      </c>
      <c r="N227" s="2" t="s">
        <v>37</v>
      </c>
    </row>
    <row r="228" spans="1:14" x14ac:dyDescent="0.25">
      <c r="A228" s="2" t="s">
        <v>542</v>
      </c>
      <c r="B228" s="2" t="s">
        <v>344</v>
      </c>
      <c r="C228" s="2" t="s">
        <v>119</v>
      </c>
      <c r="D228" s="4">
        <v>46119</v>
      </c>
      <c r="E228" s="2" t="s">
        <v>41</v>
      </c>
      <c r="F228" s="2" t="s">
        <v>42</v>
      </c>
      <c r="G228" s="2" t="s">
        <v>60</v>
      </c>
      <c r="H228" s="2" t="s">
        <v>54</v>
      </c>
      <c r="I228" s="2">
        <v>4</v>
      </c>
      <c r="J228" s="5">
        <v>823661</v>
      </c>
      <c r="K228" s="5">
        <v>35000</v>
      </c>
      <c r="L228" s="2" t="s">
        <v>35</v>
      </c>
      <c r="M228" s="2" t="s">
        <v>36</v>
      </c>
      <c r="N228" s="2" t="s">
        <v>37</v>
      </c>
    </row>
    <row r="229" spans="1:14" x14ac:dyDescent="0.25">
      <c r="A229" s="2" t="s">
        <v>543</v>
      </c>
      <c r="B229" s="2" t="s">
        <v>544</v>
      </c>
      <c r="C229" s="2" t="s">
        <v>377</v>
      </c>
      <c r="D229" s="4">
        <v>46044</v>
      </c>
      <c r="E229" s="2" t="s">
        <v>80</v>
      </c>
      <c r="F229" s="2" t="s">
        <v>59</v>
      </c>
      <c r="G229" s="2" t="s">
        <v>60</v>
      </c>
      <c r="H229" s="2" t="s">
        <v>66</v>
      </c>
      <c r="I229" s="2">
        <v>5</v>
      </c>
      <c r="J229" s="5">
        <v>1379262</v>
      </c>
      <c r="K229" s="5">
        <v>50000</v>
      </c>
      <c r="L229" s="2" t="s">
        <v>177</v>
      </c>
      <c r="M229" s="2" t="s">
        <v>36</v>
      </c>
      <c r="N229" s="2" t="s">
        <v>37</v>
      </c>
    </row>
    <row r="230" spans="1:14" x14ac:dyDescent="0.25">
      <c r="A230" s="2" t="s">
        <v>545</v>
      </c>
      <c r="B230" s="2" t="s">
        <v>302</v>
      </c>
      <c r="C230" s="2" t="s">
        <v>111</v>
      </c>
      <c r="D230" s="4">
        <v>46119</v>
      </c>
      <c r="E230" s="2" t="s">
        <v>41</v>
      </c>
      <c r="F230" s="2" t="s">
        <v>42</v>
      </c>
      <c r="G230" s="2" t="s">
        <v>85</v>
      </c>
      <c r="H230" s="2" t="s">
        <v>34</v>
      </c>
      <c r="I230" s="2">
        <v>4</v>
      </c>
      <c r="J230" s="5">
        <v>2477794</v>
      </c>
      <c r="K230" s="5">
        <v>50000</v>
      </c>
      <c r="L230" s="2" t="s">
        <v>35</v>
      </c>
      <c r="M230" s="2" t="s">
        <v>67</v>
      </c>
      <c r="N230" s="2" t="s">
        <v>61</v>
      </c>
    </row>
    <row r="231" spans="1:14" x14ac:dyDescent="0.25">
      <c r="A231" s="2" t="s">
        <v>546</v>
      </c>
      <c r="B231" s="2" t="s">
        <v>194</v>
      </c>
      <c r="C231" s="2" t="s">
        <v>195</v>
      </c>
      <c r="D231" s="4">
        <v>46151</v>
      </c>
      <c r="E231" s="2" t="s">
        <v>80</v>
      </c>
      <c r="F231" s="2" t="s">
        <v>59</v>
      </c>
      <c r="G231" s="2" t="s">
        <v>60</v>
      </c>
      <c r="H231" s="2" t="s">
        <v>547</v>
      </c>
      <c r="I231" s="2">
        <v>4</v>
      </c>
      <c r="J231" s="5">
        <v>1689751</v>
      </c>
      <c r="K231" s="5">
        <v>35000</v>
      </c>
      <c r="L231" s="2" t="s">
        <v>245</v>
      </c>
      <c r="M231" s="2" t="s">
        <v>49</v>
      </c>
      <c r="N231" s="2" t="s">
        <v>61</v>
      </c>
    </row>
    <row r="232" spans="1:14" x14ac:dyDescent="0.25">
      <c r="A232" s="2" t="s">
        <v>548</v>
      </c>
      <c r="B232" s="2" t="s">
        <v>549</v>
      </c>
      <c r="C232" s="2" t="s">
        <v>198</v>
      </c>
      <c r="D232" s="4">
        <v>46032</v>
      </c>
      <c r="E232" s="2" t="s">
        <v>80</v>
      </c>
      <c r="F232" s="2" t="s">
        <v>32</v>
      </c>
      <c r="G232" s="2" t="s">
        <v>46</v>
      </c>
      <c r="H232" s="2" t="s">
        <v>47</v>
      </c>
      <c r="I232" s="2">
        <v>5</v>
      </c>
      <c r="J232" s="5">
        <v>642096</v>
      </c>
      <c r="K232" s="5">
        <v>35000</v>
      </c>
      <c r="L232" s="2" t="s">
        <v>35</v>
      </c>
      <c r="M232" s="2" t="s">
        <v>36</v>
      </c>
      <c r="N232" s="2" t="s">
        <v>37</v>
      </c>
    </row>
    <row r="233" spans="1:14" x14ac:dyDescent="0.25">
      <c r="A233" s="2" t="s">
        <v>550</v>
      </c>
      <c r="B233" s="2" t="s">
        <v>551</v>
      </c>
      <c r="C233" s="2" t="s">
        <v>84</v>
      </c>
      <c r="D233" s="4">
        <v>46037</v>
      </c>
      <c r="E233" s="2" t="s">
        <v>80</v>
      </c>
      <c r="F233" s="2" t="s">
        <v>65</v>
      </c>
      <c r="G233" s="2" t="s">
        <v>75</v>
      </c>
      <c r="H233" s="2" t="s">
        <v>34</v>
      </c>
      <c r="I233" s="2">
        <v>6</v>
      </c>
      <c r="J233" s="5">
        <v>1736204</v>
      </c>
      <c r="K233" s="5">
        <v>35000</v>
      </c>
      <c r="L233" s="2" t="s">
        <v>35</v>
      </c>
      <c r="M233" s="2" t="s">
        <v>36</v>
      </c>
      <c r="N233" s="2" t="s">
        <v>37</v>
      </c>
    </row>
    <row r="234" spans="1:14" x14ac:dyDescent="0.25">
      <c r="A234" s="2" t="s">
        <v>552</v>
      </c>
      <c r="B234" s="2" t="s">
        <v>44</v>
      </c>
      <c r="C234" s="2" t="s">
        <v>45</v>
      </c>
      <c r="D234" s="4">
        <v>46139</v>
      </c>
      <c r="E234" s="2" t="s">
        <v>31</v>
      </c>
      <c r="F234" s="2" t="s">
        <v>65</v>
      </c>
      <c r="G234" s="2" t="s">
        <v>81</v>
      </c>
      <c r="H234" s="2" t="s">
        <v>54</v>
      </c>
      <c r="I234" s="2">
        <v>2</v>
      </c>
      <c r="J234" s="5">
        <v>738103</v>
      </c>
      <c r="K234" s="5">
        <v>25000</v>
      </c>
      <c r="L234" s="2" t="s">
        <v>35</v>
      </c>
      <c r="M234" s="2" t="s">
        <v>49</v>
      </c>
      <c r="N234" s="2" t="s">
        <v>37</v>
      </c>
    </row>
    <row r="235" spans="1:14" x14ac:dyDescent="0.25">
      <c r="A235" s="2" t="s">
        <v>553</v>
      </c>
      <c r="B235" s="2" t="s">
        <v>344</v>
      </c>
      <c r="C235" s="2" t="s">
        <v>119</v>
      </c>
      <c r="D235" s="4">
        <v>46203</v>
      </c>
      <c r="E235" s="2" t="s">
        <v>80</v>
      </c>
      <c r="F235" s="2" t="s">
        <v>59</v>
      </c>
      <c r="G235" s="2" t="s">
        <v>46</v>
      </c>
      <c r="H235" s="2" t="s">
        <v>66</v>
      </c>
      <c r="I235" s="2">
        <v>2</v>
      </c>
      <c r="J235" s="5">
        <v>457005</v>
      </c>
      <c r="K235" s="5">
        <v>50000</v>
      </c>
      <c r="L235" s="2" t="s">
        <v>48</v>
      </c>
      <c r="M235" s="2" t="s">
        <v>71</v>
      </c>
      <c r="N235" s="2" t="s">
        <v>37</v>
      </c>
    </row>
    <row r="236" spans="1:14" x14ac:dyDescent="0.25">
      <c r="A236" s="2" t="s">
        <v>554</v>
      </c>
      <c r="B236" s="2" t="s">
        <v>555</v>
      </c>
      <c r="C236" s="2" t="s">
        <v>238</v>
      </c>
      <c r="D236" s="2" t="s">
        <v>556</v>
      </c>
      <c r="E236" s="2" t="s">
        <v>31</v>
      </c>
      <c r="F236" s="2" t="s">
        <v>59</v>
      </c>
      <c r="G236" s="2" t="s">
        <v>75</v>
      </c>
      <c r="H236" s="2" t="s">
        <v>66</v>
      </c>
      <c r="I236" s="2">
        <v>7</v>
      </c>
      <c r="J236" s="5">
        <v>578328</v>
      </c>
      <c r="K236" s="5">
        <v>50000</v>
      </c>
      <c r="L236" s="2" t="s">
        <v>48</v>
      </c>
      <c r="M236" s="2" t="s">
        <v>36</v>
      </c>
      <c r="N236" s="2" t="s">
        <v>61</v>
      </c>
    </row>
    <row r="237" spans="1:14" x14ac:dyDescent="0.25">
      <c r="A237" s="2" t="s">
        <v>557</v>
      </c>
      <c r="B237" s="2" t="s">
        <v>503</v>
      </c>
      <c r="C237" s="2" t="s">
        <v>141</v>
      </c>
      <c r="D237" s="2" t="s">
        <v>558</v>
      </c>
      <c r="E237" s="2" t="s">
        <v>41</v>
      </c>
      <c r="F237" s="2" t="s">
        <v>32</v>
      </c>
      <c r="G237" s="2" t="s">
        <v>559</v>
      </c>
      <c r="H237" s="2" t="s">
        <v>47</v>
      </c>
      <c r="I237" s="2">
        <v>1</v>
      </c>
      <c r="J237" s="5">
        <v>126621</v>
      </c>
      <c r="K237" s="5">
        <v>0</v>
      </c>
      <c r="L237" s="2" t="s">
        <v>35</v>
      </c>
      <c r="M237" s="2" t="s">
        <v>36</v>
      </c>
      <c r="N237" s="2" t="s">
        <v>61</v>
      </c>
    </row>
    <row r="238" spans="1:14" x14ac:dyDescent="0.25">
      <c r="A238" s="2" t="s">
        <v>560</v>
      </c>
      <c r="B238" s="2" t="s">
        <v>486</v>
      </c>
      <c r="C238" s="2" t="s">
        <v>170</v>
      </c>
      <c r="D238" s="4">
        <v>46118</v>
      </c>
      <c r="E238" s="2" t="s">
        <v>58</v>
      </c>
      <c r="F238" s="2" t="s">
        <v>59</v>
      </c>
      <c r="G238" s="2" t="s">
        <v>46</v>
      </c>
      <c r="H238" s="2" t="s">
        <v>34</v>
      </c>
      <c r="I238" s="2">
        <v>2</v>
      </c>
      <c r="J238" s="5">
        <v>901818</v>
      </c>
      <c r="K238" s="5">
        <v>15000</v>
      </c>
      <c r="L238" s="2" t="s">
        <v>35</v>
      </c>
      <c r="M238" s="2" t="s">
        <v>338</v>
      </c>
      <c r="N238" s="2" t="s">
        <v>61</v>
      </c>
    </row>
    <row r="239" spans="1:14" x14ac:dyDescent="0.25">
      <c r="A239" s="2" t="s">
        <v>561</v>
      </c>
      <c r="B239" s="2" t="s">
        <v>240</v>
      </c>
      <c r="C239" s="2" t="s">
        <v>241</v>
      </c>
      <c r="D239" s="4">
        <v>46038</v>
      </c>
      <c r="E239" s="2" t="s">
        <v>53</v>
      </c>
      <c r="F239" s="2" t="s">
        <v>65</v>
      </c>
      <c r="G239" s="2" t="s">
        <v>75</v>
      </c>
      <c r="H239" s="2" t="s">
        <v>34</v>
      </c>
      <c r="I239" s="2">
        <v>3</v>
      </c>
      <c r="J239" s="5">
        <v>886422</v>
      </c>
      <c r="K239" s="5">
        <v>15000</v>
      </c>
      <c r="L239" s="2" t="s">
        <v>89</v>
      </c>
      <c r="M239" s="2" t="s">
        <v>71</v>
      </c>
      <c r="N239" s="2" t="s">
        <v>61</v>
      </c>
    </row>
    <row r="240" spans="1:14" x14ac:dyDescent="0.25">
      <c r="A240" s="2" t="s">
        <v>562</v>
      </c>
      <c r="B240" s="2" t="s">
        <v>333</v>
      </c>
      <c r="C240" s="2" t="s">
        <v>334</v>
      </c>
      <c r="D240" s="4">
        <v>46044</v>
      </c>
      <c r="E240" s="2" t="s">
        <v>31</v>
      </c>
      <c r="F240" s="2" t="s">
        <v>59</v>
      </c>
      <c r="G240" s="2" t="s">
        <v>60</v>
      </c>
      <c r="H240" s="2" t="s">
        <v>54</v>
      </c>
      <c r="I240" s="2">
        <v>3</v>
      </c>
      <c r="J240" s="5">
        <v>1704308</v>
      </c>
      <c r="K240" s="5">
        <v>0</v>
      </c>
      <c r="L240" s="2" t="s">
        <v>35</v>
      </c>
      <c r="M240" s="2" t="s">
        <v>67</v>
      </c>
      <c r="N240" s="2" t="s">
        <v>61</v>
      </c>
    </row>
    <row r="241" spans="1:14" x14ac:dyDescent="0.25">
      <c r="A241" s="2" t="s">
        <v>563</v>
      </c>
      <c r="B241" s="2" t="s">
        <v>427</v>
      </c>
      <c r="C241" s="2" t="s">
        <v>388</v>
      </c>
      <c r="D241" s="4">
        <v>46091</v>
      </c>
      <c r="E241" s="2" t="s">
        <v>58</v>
      </c>
      <c r="F241" s="2" t="s">
        <v>214</v>
      </c>
      <c r="G241" s="2" t="s">
        <v>46</v>
      </c>
      <c r="H241" s="2" t="s">
        <v>76</v>
      </c>
      <c r="I241" s="2">
        <v>7</v>
      </c>
      <c r="J241" s="5">
        <v>150310</v>
      </c>
      <c r="K241" s="5">
        <v>50000</v>
      </c>
      <c r="L241" s="2" t="s">
        <v>89</v>
      </c>
      <c r="M241" s="2" t="s">
        <v>71</v>
      </c>
      <c r="N241" s="2" t="s">
        <v>37</v>
      </c>
    </row>
    <row r="242" spans="1:14" x14ac:dyDescent="0.25">
      <c r="A242" s="2" t="s">
        <v>564</v>
      </c>
      <c r="B242" s="2" t="s">
        <v>565</v>
      </c>
      <c r="C242" s="2" t="s">
        <v>114</v>
      </c>
      <c r="D242" s="4">
        <v>46147</v>
      </c>
      <c r="E242" s="2" t="s">
        <v>80</v>
      </c>
      <c r="F242" s="2" t="s">
        <v>32</v>
      </c>
      <c r="G242" s="2" t="s">
        <v>85</v>
      </c>
      <c r="H242" s="2" t="s">
        <v>66</v>
      </c>
      <c r="I242" s="2">
        <v>5</v>
      </c>
      <c r="J242" s="5">
        <v>2104877</v>
      </c>
      <c r="K242" s="5">
        <v>25000</v>
      </c>
      <c r="L242" s="2" t="s">
        <v>35</v>
      </c>
      <c r="M242" s="2" t="s">
        <v>36</v>
      </c>
      <c r="N242" s="2" t="s">
        <v>37</v>
      </c>
    </row>
    <row r="243" spans="1:14" x14ac:dyDescent="0.25">
      <c r="A243" s="2" t="s">
        <v>566</v>
      </c>
      <c r="B243" s="2" t="s">
        <v>567</v>
      </c>
      <c r="C243" s="2" t="s">
        <v>198</v>
      </c>
      <c r="D243" s="4">
        <v>46179</v>
      </c>
      <c r="E243" s="2" t="s">
        <v>41</v>
      </c>
      <c r="F243" s="2" t="s">
        <v>59</v>
      </c>
      <c r="G243" s="2" t="s">
        <v>75</v>
      </c>
      <c r="H243" s="2" t="s">
        <v>34</v>
      </c>
      <c r="I243" s="2">
        <v>7</v>
      </c>
      <c r="J243" s="5">
        <v>360088</v>
      </c>
      <c r="K243" s="5">
        <v>25000</v>
      </c>
      <c r="L243" s="2" t="s">
        <v>123</v>
      </c>
      <c r="M243" s="2" t="s">
        <v>67</v>
      </c>
      <c r="N243" s="2" t="s">
        <v>61</v>
      </c>
    </row>
    <row r="244" spans="1:14" x14ac:dyDescent="0.25">
      <c r="A244" s="2" t="s">
        <v>568</v>
      </c>
      <c r="B244" s="2" t="s">
        <v>44</v>
      </c>
      <c r="C244" s="2" t="s">
        <v>45</v>
      </c>
      <c r="D244" s="4">
        <v>46054</v>
      </c>
      <c r="E244" s="2" t="s">
        <v>41</v>
      </c>
      <c r="F244" s="2" t="s">
        <v>59</v>
      </c>
      <c r="G244" s="2" t="s">
        <v>46</v>
      </c>
      <c r="H244" s="2" t="s">
        <v>47</v>
      </c>
      <c r="I244" s="2">
        <v>6</v>
      </c>
      <c r="J244" s="5" t="s">
        <v>569</v>
      </c>
      <c r="K244" s="5">
        <v>25000</v>
      </c>
      <c r="L244" s="2" t="s">
        <v>35</v>
      </c>
      <c r="M244" s="2" t="s">
        <v>67</v>
      </c>
      <c r="N244" s="2" t="s">
        <v>61</v>
      </c>
    </row>
    <row r="245" spans="1:14" x14ac:dyDescent="0.25">
      <c r="A245" s="2" t="s">
        <v>570</v>
      </c>
      <c r="B245" s="2" t="s">
        <v>571</v>
      </c>
      <c r="C245" s="2" t="s">
        <v>248</v>
      </c>
      <c r="D245" s="4">
        <v>46186</v>
      </c>
      <c r="E245" s="2" t="s">
        <v>80</v>
      </c>
      <c r="F245" s="2" t="s">
        <v>59</v>
      </c>
      <c r="G245" s="2" t="s">
        <v>85</v>
      </c>
      <c r="H245" s="2" t="s">
        <v>353</v>
      </c>
      <c r="I245" s="2">
        <v>6</v>
      </c>
      <c r="J245" s="5">
        <v>1471335</v>
      </c>
      <c r="K245" s="5">
        <v>0</v>
      </c>
      <c r="L245" s="2" t="s">
        <v>35</v>
      </c>
      <c r="M245" s="2" t="s">
        <v>67</v>
      </c>
      <c r="N245" s="2" t="s">
        <v>37</v>
      </c>
    </row>
    <row r="246" spans="1:14" x14ac:dyDescent="0.25">
      <c r="A246" s="2" t="s">
        <v>572</v>
      </c>
      <c r="B246" s="2" t="s">
        <v>573</v>
      </c>
      <c r="C246" s="2" t="s">
        <v>195</v>
      </c>
      <c r="D246" s="4">
        <v>46179</v>
      </c>
      <c r="E246" s="2" t="s">
        <v>41</v>
      </c>
      <c r="F246" s="2" t="s">
        <v>65</v>
      </c>
      <c r="G246" s="2" t="s">
        <v>75</v>
      </c>
      <c r="H246" s="2" t="s">
        <v>47</v>
      </c>
      <c r="I246" s="2">
        <v>4</v>
      </c>
      <c r="J246" s="5">
        <v>461287</v>
      </c>
      <c r="K246" s="5">
        <v>25000</v>
      </c>
      <c r="L246" s="2" t="s">
        <v>245</v>
      </c>
      <c r="M246" s="2" t="s">
        <v>49</v>
      </c>
      <c r="N246" s="2" t="s">
        <v>37</v>
      </c>
    </row>
    <row r="247" spans="1:14" x14ac:dyDescent="0.25">
      <c r="A247" s="2" t="s">
        <v>574</v>
      </c>
      <c r="B247" s="2" t="s">
        <v>575</v>
      </c>
      <c r="C247" s="2" t="s">
        <v>576</v>
      </c>
      <c r="D247" s="4">
        <v>46072</v>
      </c>
      <c r="E247" s="2" t="s">
        <v>41</v>
      </c>
      <c r="F247" s="2" t="s">
        <v>65</v>
      </c>
      <c r="G247" s="2" t="s">
        <v>33</v>
      </c>
      <c r="H247" s="2" t="s">
        <v>76</v>
      </c>
      <c r="I247" s="2">
        <v>5</v>
      </c>
      <c r="J247" s="5">
        <v>720462</v>
      </c>
      <c r="K247" s="5">
        <v>50000</v>
      </c>
      <c r="L247" s="2" t="s">
        <v>48</v>
      </c>
      <c r="M247" s="2" t="s">
        <v>67</v>
      </c>
      <c r="N247" s="2" t="s">
        <v>37</v>
      </c>
    </row>
    <row r="248" spans="1:14" x14ac:dyDescent="0.25">
      <c r="A248" s="2" t="s">
        <v>577</v>
      </c>
      <c r="B248" s="2" t="s">
        <v>503</v>
      </c>
      <c r="C248" s="2" t="s">
        <v>141</v>
      </c>
      <c r="D248" s="4">
        <v>46137</v>
      </c>
      <c r="E248" s="2" t="s">
        <v>31</v>
      </c>
      <c r="F248" s="2" t="s">
        <v>65</v>
      </c>
      <c r="G248" s="2" t="s">
        <v>81</v>
      </c>
      <c r="H248" s="2" t="s">
        <v>47</v>
      </c>
      <c r="I248" s="2">
        <v>6</v>
      </c>
      <c r="J248" s="5">
        <v>605191</v>
      </c>
      <c r="K248" s="5">
        <v>35000</v>
      </c>
      <c r="L248" s="2" t="s">
        <v>35</v>
      </c>
      <c r="M248" s="2" t="s">
        <v>67</v>
      </c>
      <c r="N248" s="2" t="s">
        <v>61</v>
      </c>
    </row>
    <row r="249" spans="1:14" x14ac:dyDescent="0.25">
      <c r="A249" s="2" t="s">
        <v>578</v>
      </c>
      <c r="B249" s="2" t="s">
        <v>579</v>
      </c>
      <c r="C249" s="2" t="s">
        <v>580</v>
      </c>
      <c r="D249" s="4">
        <v>46106</v>
      </c>
      <c r="E249" s="2" t="s">
        <v>58</v>
      </c>
      <c r="F249" s="2" t="s">
        <v>42</v>
      </c>
      <c r="G249" s="2" t="s">
        <v>46</v>
      </c>
      <c r="H249" s="2" t="s">
        <v>47</v>
      </c>
      <c r="I249" s="2">
        <v>2</v>
      </c>
      <c r="J249" s="5">
        <v>1728472</v>
      </c>
      <c r="K249" s="5">
        <v>25000</v>
      </c>
      <c r="L249" s="2" t="s">
        <v>35</v>
      </c>
      <c r="M249" s="2" t="s">
        <v>36</v>
      </c>
      <c r="N249" s="2" t="s">
        <v>61</v>
      </c>
    </row>
    <row r="250" spans="1:14" x14ac:dyDescent="0.25">
      <c r="A250" s="2" t="s">
        <v>581</v>
      </c>
      <c r="B250" s="2" t="s">
        <v>461</v>
      </c>
      <c r="C250" s="2" t="s">
        <v>152</v>
      </c>
      <c r="D250" s="2"/>
      <c r="E250" s="2" t="s">
        <v>80</v>
      </c>
      <c r="F250" s="2" t="s">
        <v>59</v>
      </c>
      <c r="G250" s="2" t="s">
        <v>75</v>
      </c>
      <c r="H250" s="2" t="s">
        <v>47</v>
      </c>
      <c r="I250" s="2">
        <v>5</v>
      </c>
      <c r="J250" s="5">
        <v>1515869</v>
      </c>
      <c r="K250" s="5">
        <v>15000</v>
      </c>
      <c r="L250" s="2" t="s">
        <v>35</v>
      </c>
      <c r="M250" s="2" t="s">
        <v>36</v>
      </c>
      <c r="N250" s="2" t="s">
        <v>37</v>
      </c>
    </row>
    <row r="251" spans="1:14" x14ac:dyDescent="0.25">
      <c r="A251" s="2" t="s">
        <v>582</v>
      </c>
      <c r="B251" s="2" t="s">
        <v>583</v>
      </c>
      <c r="C251" s="2" t="s">
        <v>377</v>
      </c>
      <c r="D251" s="4">
        <v>46082</v>
      </c>
      <c r="E251" s="2" t="s">
        <v>80</v>
      </c>
      <c r="F251" s="2" t="s">
        <v>42</v>
      </c>
      <c r="G251" s="2" t="s">
        <v>584</v>
      </c>
      <c r="H251" s="2" t="s">
        <v>54</v>
      </c>
      <c r="I251" s="2">
        <v>1</v>
      </c>
      <c r="J251" s="5">
        <v>1057640</v>
      </c>
      <c r="K251" s="5">
        <v>25000</v>
      </c>
      <c r="L251" s="2" t="s">
        <v>35</v>
      </c>
      <c r="M251" s="2" t="s">
        <v>67</v>
      </c>
      <c r="N251" s="2" t="s">
        <v>37</v>
      </c>
    </row>
    <row r="252" spans="1:14" x14ac:dyDescent="0.25">
      <c r="A252" s="2" t="s">
        <v>585</v>
      </c>
      <c r="B252" s="2" t="s">
        <v>39</v>
      </c>
      <c r="C252" s="2" t="s">
        <v>40</v>
      </c>
      <c r="D252" s="4">
        <v>46103</v>
      </c>
      <c r="E252" s="2" t="s">
        <v>53</v>
      </c>
      <c r="F252" s="2" t="s">
        <v>42</v>
      </c>
      <c r="G252" s="2" t="s">
        <v>60</v>
      </c>
      <c r="H252" s="2" t="s">
        <v>47</v>
      </c>
      <c r="I252" s="2">
        <v>6</v>
      </c>
      <c r="J252" s="5">
        <v>1714653</v>
      </c>
      <c r="K252" s="5">
        <v>50000</v>
      </c>
      <c r="L252" s="2" t="s">
        <v>35</v>
      </c>
      <c r="M252" s="2" t="s">
        <v>67</v>
      </c>
      <c r="N252" s="2" t="s">
        <v>37</v>
      </c>
    </row>
    <row r="253" spans="1:14" x14ac:dyDescent="0.25">
      <c r="A253" s="2" t="s">
        <v>586</v>
      </c>
      <c r="B253" s="2" t="s">
        <v>587</v>
      </c>
      <c r="C253" s="2" t="s">
        <v>238</v>
      </c>
      <c r="D253" s="4">
        <v>46116</v>
      </c>
      <c r="E253" s="2" t="s">
        <v>41</v>
      </c>
      <c r="F253" s="2" t="s">
        <v>65</v>
      </c>
      <c r="G253" s="2" t="s">
        <v>46</v>
      </c>
      <c r="H253" s="2" t="s">
        <v>47</v>
      </c>
      <c r="I253" s="2">
        <v>6</v>
      </c>
      <c r="J253" s="5">
        <v>649771</v>
      </c>
      <c r="K253" s="5">
        <v>50000</v>
      </c>
      <c r="L253" s="2" t="s">
        <v>35</v>
      </c>
      <c r="M253" s="2" t="s">
        <v>67</v>
      </c>
      <c r="N253" s="2" t="s">
        <v>37</v>
      </c>
    </row>
    <row r="254" spans="1:14" x14ac:dyDescent="0.25">
      <c r="A254" s="2" t="s">
        <v>588</v>
      </c>
      <c r="B254" s="2" t="s">
        <v>128</v>
      </c>
      <c r="C254" s="2" t="s">
        <v>129</v>
      </c>
      <c r="D254" s="4">
        <v>46098</v>
      </c>
      <c r="E254" s="2" t="s">
        <v>31</v>
      </c>
      <c r="F254" s="2" t="s">
        <v>65</v>
      </c>
      <c r="G254" s="2" t="s">
        <v>46</v>
      </c>
      <c r="H254" s="2" t="s">
        <v>66</v>
      </c>
      <c r="I254" s="2">
        <v>6</v>
      </c>
      <c r="J254" s="5">
        <v>1038150</v>
      </c>
      <c r="K254" s="5">
        <v>35000</v>
      </c>
      <c r="L254" s="2" t="s">
        <v>35</v>
      </c>
      <c r="M254" s="2" t="s">
        <v>36</v>
      </c>
      <c r="N254" s="2" t="s">
        <v>37</v>
      </c>
    </row>
    <row r="255" spans="1:14" x14ac:dyDescent="0.25">
      <c r="A255" s="2" t="s">
        <v>589</v>
      </c>
      <c r="B255" s="2" t="s">
        <v>590</v>
      </c>
      <c r="C255" s="2" t="s">
        <v>176</v>
      </c>
      <c r="D255" s="4">
        <v>46199</v>
      </c>
      <c r="E255" s="2" t="s">
        <v>31</v>
      </c>
      <c r="F255" s="2" t="s">
        <v>159</v>
      </c>
      <c r="G255" s="2" t="s">
        <v>33</v>
      </c>
      <c r="H255" s="2" t="s">
        <v>47</v>
      </c>
      <c r="I255" s="2">
        <v>7</v>
      </c>
      <c r="J255" s="5">
        <v>637845</v>
      </c>
      <c r="K255" s="5">
        <v>25000</v>
      </c>
      <c r="L255" s="2" t="s">
        <v>35</v>
      </c>
      <c r="M255" s="2" t="s">
        <v>36</v>
      </c>
      <c r="N255" s="2" t="s">
        <v>61</v>
      </c>
    </row>
    <row r="256" spans="1:14" x14ac:dyDescent="0.25">
      <c r="A256" s="2" t="s">
        <v>591</v>
      </c>
      <c r="B256" s="2" t="s">
        <v>212</v>
      </c>
      <c r="C256" s="2" t="s">
        <v>213</v>
      </c>
      <c r="D256" s="4">
        <v>46108</v>
      </c>
      <c r="E256" s="2" t="s">
        <v>58</v>
      </c>
      <c r="F256" s="2" t="s">
        <v>42</v>
      </c>
      <c r="G256" s="2" t="s">
        <v>60</v>
      </c>
      <c r="H256" s="2" t="s">
        <v>47</v>
      </c>
      <c r="I256" s="2">
        <v>7</v>
      </c>
      <c r="J256" s="5">
        <v>760479</v>
      </c>
      <c r="K256" s="5">
        <v>15000</v>
      </c>
      <c r="L256" s="2" t="s">
        <v>35</v>
      </c>
      <c r="M256" s="2" t="s">
        <v>71</v>
      </c>
      <c r="N256" s="2" t="s">
        <v>37</v>
      </c>
    </row>
    <row r="257" spans="1:14" x14ac:dyDescent="0.25">
      <c r="A257" s="2" t="s">
        <v>592</v>
      </c>
      <c r="B257" s="2" t="s">
        <v>593</v>
      </c>
      <c r="C257" s="2" t="s">
        <v>208</v>
      </c>
      <c r="D257" s="4">
        <v>46191</v>
      </c>
      <c r="E257" s="2" t="s">
        <v>41</v>
      </c>
      <c r="F257" s="2" t="s">
        <v>32</v>
      </c>
      <c r="G257" s="2" t="s">
        <v>60</v>
      </c>
      <c r="H257" s="2" t="s">
        <v>47</v>
      </c>
      <c r="I257" s="2">
        <v>5</v>
      </c>
      <c r="J257" s="5">
        <v>787704</v>
      </c>
      <c r="K257" s="5">
        <v>0</v>
      </c>
      <c r="L257" s="2" t="s">
        <v>35</v>
      </c>
      <c r="M257" s="2" t="s">
        <v>36</v>
      </c>
      <c r="N257" s="2" t="s">
        <v>61</v>
      </c>
    </row>
    <row r="258" spans="1:14" x14ac:dyDescent="0.25">
      <c r="A258" s="2" t="s">
        <v>594</v>
      </c>
      <c r="B258" s="2" t="s">
        <v>595</v>
      </c>
      <c r="C258" s="2" t="s">
        <v>107</v>
      </c>
      <c r="D258" s="4">
        <v>46095</v>
      </c>
      <c r="E258" s="2" t="s">
        <v>53</v>
      </c>
      <c r="F258" s="2" t="s">
        <v>65</v>
      </c>
      <c r="G258" s="2" t="s">
        <v>75</v>
      </c>
      <c r="H258" s="2" t="s">
        <v>66</v>
      </c>
      <c r="I258" s="2">
        <v>6</v>
      </c>
      <c r="J258" s="5">
        <v>1304320</v>
      </c>
      <c r="K258" s="5">
        <v>15000</v>
      </c>
      <c r="L258" s="2" t="s">
        <v>48</v>
      </c>
      <c r="M258" s="2" t="s">
        <v>36</v>
      </c>
      <c r="N258" s="2" t="s">
        <v>37</v>
      </c>
    </row>
    <row r="259" spans="1:14" x14ac:dyDescent="0.25">
      <c r="A259" s="2" t="s">
        <v>596</v>
      </c>
      <c r="B259" s="2" t="s">
        <v>597</v>
      </c>
      <c r="C259" s="2" t="s">
        <v>190</v>
      </c>
      <c r="D259" s="4">
        <v>46064</v>
      </c>
      <c r="E259" s="2" t="s">
        <v>31</v>
      </c>
      <c r="F259" s="2" t="s">
        <v>42</v>
      </c>
      <c r="G259" s="2" t="s">
        <v>75</v>
      </c>
      <c r="H259" s="2" t="s">
        <v>34</v>
      </c>
      <c r="I259" s="2">
        <v>6</v>
      </c>
      <c r="J259" s="5">
        <v>696972</v>
      </c>
      <c r="K259" s="5">
        <v>35000</v>
      </c>
      <c r="L259" s="2" t="s">
        <v>35</v>
      </c>
      <c r="M259" s="2" t="s">
        <v>71</v>
      </c>
      <c r="N259" s="2" t="s">
        <v>61</v>
      </c>
    </row>
    <row r="260" spans="1:14" x14ac:dyDescent="0.25">
      <c r="A260" s="2" t="s">
        <v>598</v>
      </c>
      <c r="B260" s="2" t="s">
        <v>599</v>
      </c>
      <c r="C260" s="2" t="s">
        <v>263</v>
      </c>
      <c r="D260" s="4">
        <v>46170</v>
      </c>
      <c r="E260" s="2" t="s">
        <v>58</v>
      </c>
      <c r="F260" s="2" t="s">
        <v>65</v>
      </c>
      <c r="G260" s="2" t="s">
        <v>33</v>
      </c>
      <c r="H260" s="2" t="s">
        <v>47</v>
      </c>
      <c r="I260" s="2">
        <v>4</v>
      </c>
      <c r="J260" s="5">
        <v>547600</v>
      </c>
      <c r="K260" s="5">
        <v>15000</v>
      </c>
      <c r="L260" s="2" t="s">
        <v>89</v>
      </c>
      <c r="M260" s="2" t="s">
        <v>49</v>
      </c>
      <c r="N260" s="2" t="s">
        <v>61</v>
      </c>
    </row>
    <row r="261" spans="1:14" x14ac:dyDescent="0.25">
      <c r="A261" s="2" t="s">
        <v>600</v>
      </c>
      <c r="B261" s="2" t="s">
        <v>296</v>
      </c>
      <c r="C261" s="2" t="s">
        <v>144</v>
      </c>
      <c r="D261" s="4">
        <v>46053</v>
      </c>
      <c r="E261" s="2" t="s">
        <v>41</v>
      </c>
      <c r="F261" s="2" t="s">
        <v>42</v>
      </c>
      <c r="G261" s="2" t="s">
        <v>81</v>
      </c>
      <c r="H261" s="2" t="s">
        <v>54</v>
      </c>
      <c r="I261" s="2">
        <v>5</v>
      </c>
      <c r="J261" s="5">
        <v>2281891</v>
      </c>
      <c r="K261" s="5">
        <v>25000</v>
      </c>
      <c r="L261" s="2" t="s">
        <v>35</v>
      </c>
      <c r="M261" s="2" t="s">
        <v>67</v>
      </c>
      <c r="N261" s="2" t="s">
        <v>61</v>
      </c>
    </row>
    <row r="262" spans="1:14" x14ac:dyDescent="0.25">
      <c r="A262" s="2" t="s">
        <v>601</v>
      </c>
      <c r="B262" s="2" t="s">
        <v>344</v>
      </c>
      <c r="C262" s="2" t="s">
        <v>119</v>
      </c>
      <c r="D262" s="4">
        <v>46148</v>
      </c>
      <c r="E262" s="2" t="s">
        <v>348</v>
      </c>
      <c r="F262" s="2" t="s">
        <v>59</v>
      </c>
      <c r="G262" s="2" t="s">
        <v>75</v>
      </c>
      <c r="H262" s="2" t="s">
        <v>47</v>
      </c>
      <c r="I262" s="2">
        <v>2</v>
      </c>
      <c r="J262" s="5">
        <v>1389572</v>
      </c>
      <c r="K262" s="5">
        <v>50000</v>
      </c>
      <c r="L262" s="2" t="s">
        <v>35</v>
      </c>
      <c r="M262" s="2" t="s">
        <v>36</v>
      </c>
      <c r="N262" s="2" t="s">
        <v>37</v>
      </c>
    </row>
    <row r="263" spans="1:14" x14ac:dyDescent="0.25">
      <c r="A263" s="2" t="s">
        <v>602</v>
      </c>
      <c r="B263" s="2" t="s">
        <v>369</v>
      </c>
      <c r="C263" s="2" t="s">
        <v>603</v>
      </c>
      <c r="D263" s="4">
        <v>46190</v>
      </c>
      <c r="E263" s="2" t="s">
        <v>205</v>
      </c>
      <c r="F263" s="2" t="s">
        <v>42</v>
      </c>
      <c r="G263" s="2" t="s">
        <v>81</v>
      </c>
      <c r="H263" s="2" t="s">
        <v>76</v>
      </c>
      <c r="I263" s="2">
        <v>1</v>
      </c>
      <c r="J263" s="5">
        <v>1986961</v>
      </c>
      <c r="K263" s="5">
        <v>25000</v>
      </c>
      <c r="L263" s="2" t="s">
        <v>35</v>
      </c>
      <c r="M263" s="2" t="s">
        <v>67</v>
      </c>
      <c r="N263" s="2" t="s">
        <v>37</v>
      </c>
    </row>
    <row r="264" spans="1:14" x14ac:dyDescent="0.25">
      <c r="A264" s="2" t="s">
        <v>604</v>
      </c>
      <c r="B264" s="2" t="s">
        <v>91</v>
      </c>
      <c r="C264" s="2" t="s">
        <v>92</v>
      </c>
      <c r="D264" s="4">
        <v>46200</v>
      </c>
      <c r="E264" s="2" t="s">
        <v>41</v>
      </c>
      <c r="F264" s="2" t="s">
        <v>32</v>
      </c>
      <c r="G264" s="2" t="s">
        <v>46</v>
      </c>
      <c r="H264" s="2" t="s">
        <v>34</v>
      </c>
      <c r="I264" s="2">
        <v>2</v>
      </c>
      <c r="J264" s="5">
        <v>516585</v>
      </c>
      <c r="K264" s="5">
        <v>50000</v>
      </c>
      <c r="L264" s="2" t="s">
        <v>35</v>
      </c>
      <c r="M264" s="2" t="s">
        <v>49</v>
      </c>
      <c r="N264" s="2" t="s">
        <v>61</v>
      </c>
    </row>
    <row r="265" spans="1:14" x14ac:dyDescent="0.25">
      <c r="A265" s="2" t="s">
        <v>605</v>
      </c>
      <c r="B265" s="2" t="s">
        <v>606</v>
      </c>
      <c r="C265" s="2" t="s">
        <v>370</v>
      </c>
      <c r="D265" s="4">
        <v>46039</v>
      </c>
      <c r="E265" s="2" t="s">
        <v>53</v>
      </c>
      <c r="F265" s="2" t="s">
        <v>59</v>
      </c>
      <c r="G265" s="2" t="s">
        <v>81</v>
      </c>
      <c r="H265" s="2" t="s">
        <v>76</v>
      </c>
      <c r="I265" s="2">
        <v>4</v>
      </c>
      <c r="J265" s="5">
        <v>2374484</v>
      </c>
      <c r="K265" s="5">
        <v>15000</v>
      </c>
      <c r="L265" s="2" t="s">
        <v>48</v>
      </c>
      <c r="M265" s="2" t="s">
        <v>71</v>
      </c>
      <c r="N265" s="2" t="s">
        <v>61</v>
      </c>
    </row>
    <row r="266" spans="1:14" x14ac:dyDescent="0.25">
      <c r="A266" s="2" t="s">
        <v>607</v>
      </c>
      <c r="B266" s="2" t="s">
        <v>555</v>
      </c>
      <c r="C266" s="2" t="s">
        <v>238</v>
      </c>
      <c r="D266" s="4">
        <v>46076</v>
      </c>
      <c r="E266" s="2" t="s">
        <v>53</v>
      </c>
      <c r="F266" s="2" t="s">
        <v>59</v>
      </c>
      <c r="G266" s="2" t="s">
        <v>33</v>
      </c>
      <c r="H266" s="2" t="s">
        <v>54</v>
      </c>
      <c r="I266" s="2">
        <v>7</v>
      </c>
      <c r="J266" s="5"/>
      <c r="K266" s="5">
        <v>15000</v>
      </c>
      <c r="L266" s="2" t="s">
        <v>35</v>
      </c>
      <c r="M266" s="2" t="s">
        <v>67</v>
      </c>
      <c r="N266" s="2" t="s">
        <v>61</v>
      </c>
    </row>
    <row r="267" spans="1:14" x14ac:dyDescent="0.25">
      <c r="A267" s="2" t="s">
        <v>608</v>
      </c>
      <c r="B267" s="2" t="s">
        <v>39</v>
      </c>
      <c r="C267" s="2" t="s">
        <v>40</v>
      </c>
      <c r="D267" s="4">
        <v>46170</v>
      </c>
      <c r="E267" s="2" t="s">
        <v>58</v>
      </c>
      <c r="F267" s="2" t="s">
        <v>65</v>
      </c>
      <c r="G267" s="2" t="s">
        <v>81</v>
      </c>
      <c r="H267" s="2" t="s">
        <v>76</v>
      </c>
      <c r="I267" s="2">
        <v>1</v>
      </c>
      <c r="J267" s="5">
        <v>984990</v>
      </c>
      <c r="K267" s="5">
        <v>15000</v>
      </c>
      <c r="L267" s="2" t="s">
        <v>35</v>
      </c>
      <c r="M267" s="2" t="s">
        <v>71</v>
      </c>
      <c r="N267" s="2" t="s">
        <v>37</v>
      </c>
    </row>
    <row r="268" spans="1:14" x14ac:dyDescent="0.25">
      <c r="A268" s="2" t="s">
        <v>609</v>
      </c>
      <c r="B268" s="2" t="s">
        <v>247</v>
      </c>
      <c r="C268" s="2" t="s">
        <v>248</v>
      </c>
      <c r="D268" s="4">
        <v>46162</v>
      </c>
      <c r="E268" s="2" t="s">
        <v>53</v>
      </c>
      <c r="F268" s="2" t="s">
        <v>32</v>
      </c>
      <c r="G268" s="2" t="s">
        <v>75</v>
      </c>
      <c r="H268" s="2" t="s">
        <v>76</v>
      </c>
      <c r="I268" s="2">
        <v>6</v>
      </c>
      <c r="J268" s="5">
        <v>839755</v>
      </c>
      <c r="K268" s="5">
        <v>35000</v>
      </c>
      <c r="L268" s="2" t="s">
        <v>35</v>
      </c>
      <c r="M268" s="2" t="s">
        <v>67</v>
      </c>
      <c r="N268" s="2" t="s">
        <v>37</v>
      </c>
    </row>
    <row r="269" spans="1:14" x14ac:dyDescent="0.25">
      <c r="A269" s="2" t="s">
        <v>610</v>
      </c>
      <c r="B269" s="2" t="s">
        <v>376</v>
      </c>
      <c r="C269" s="2" t="s">
        <v>377</v>
      </c>
      <c r="D269" s="4">
        <v>46170</v>
      </c>
      <c r="E269" s="2" t="s">
        <v>53</v>
      </c>
      <c r="F269" s="2" t="s">
        <v>42</v>
      </c>
      <c r="G269" s="2" t="s">
        <v>75</v>
      </c>
      <c r="H269" s="2" t="s">
        <v>54</v>
      </c>
      <c r="I269" s="2">
        <v>5</v>
      </c>
      <c r="J269" s="5">
        <v>2177066</v>
      </c>
      <c r="K269" s="5">
        <v>25000</v>
      </c>
      <c r="L269" s="2" t="s">
        <v>245</v>
      </c>
      <c r="M269" s="2"/>
      <c r="N269" s="2" t="s">
        <v>61</v>
      </c>
    </row>
    <row r="270" spans="1:14" x14ac:dyDescent="0.25">
      <c r="A270" s="2" t="s">
        <v>611</v>
      </c>
      <c r="B270" s="2" t="s">
        <v>612</v>
      </c>
      <c r="C270" s="2" t="s">
        <v>101</v>
      </c>
      <c r="D270" s="4">
        <v>46032</v>
      </c>
      <c r="E270" s="2" t="s">
        <v>53</v>
      </c>
      <c r="F270" s="2" t="s">
        <v>42</v>
      </c>
      <c r="G270" s="2" t="s">
        <v>46</v>
      </c>
      <c r="H270" s="2" t="s">
        <v>66</v>
      </c>
      <c r="I270" s="2">
        <v>3</v>
      </c>
      <c r="J270" s="5">
        <v>908838</v>
      </c>
      <c r="K270" s="5">
        <v>15000</v>
      </c>
      <c r="L270" s="2" t="s">
        <v>48</v>
      </c>
      <c r="M270" s="2" t="s">
        <v>36</v>
      </c>
      <c r="N270" s="2" t="s">
        <v>37</v>
      </c>
    </row>
    <row r="271" spans="1:14" x14ac:dyDescent="0.25">
      <c r="A271" s="2" t="s">
        <v>613</v>
      </c>
      <c r="B271" s="2" t="s">
        <v>39</v>
      </c>
      <c r="C271" s="2" t="s">
        <v>40</v>
      </c>
      <c r="D271" s="4">
        <v>46182</v>
      </c>
      <c r="E271" s="2" t="s">
        <v>31</v>
      </c>
      <c r="F271" s="2" t="s">
        <v>59</v>
      </c>
      <c r="G271" s="2" t="s">
        <v>60</v>
      </c>
      <c r="H271" s="2" t="s">
        <v>54</v>
      </c>
      <c r="I271" s="2">
        <v>5</v>
      </c>
      <c r="J271" s="5">
        <v>1890059</v>
      </c>
      <c r="K271" s="5">
        <v>0</v>
      </c>
      <c r="L271" s="2" t="s">
        <v>35</v>
      </c>
      <c r="M271" s="2" t="s">
        <v>36</v>
      </c>
      <c r="N271" s="2" t="s">
        <v>37</v>
      </c>
    </row>
    <row r="272" spans="1:14" x14ac:dyDescent="0.25">
      <c r="A272" s="2" t="s">
        <v>614</v>
      </c>
      <c r="B272" s="2" t="s">
        <v>399</v>
      </c>
      <c r="C272" s="2" t="s">
        <v>111</v>
      </c>
      <c r="D272" s="4">
        <v>46131</v>
      </c>
      <c r="E272" s="2" t="s">
        <v>31</v>
      </c>
      <c r="F272" s="2" t="s">
        <v>32</v>
      </c>
      <c r="G272" s="2" t="s">
        <v>46</v>
      </c>
      <c r="H272" s="2" t="s">
        <v>76</v>
      </c>
      <c r="I272" s="2">
        <v>2</v>
      </c>
      <c r="J272" s="5">
        <v>720808</v>
      </c>
      <c r="K272" s="5">
        <v>50000</v>
      </c>
      <c r="L272" s="2" t="s">
        <v>35</v>
      </c>
      <c r="M272" s="2" t="s">
        <v>36</v>
      </c>
      <c r="N272" s="2" t="s">
        <v>61</v>
      </c>
    </row>
    <row r="273" spans="1:14" x14ac:dyDescent="0.25">
      <c r="A273" s="2" t="s">
        <v>615</v>
      </c>
      <c r="B273" s="2" t="s">
        <v>381</v>
      </c>
      <c r="C273" s="2" t="s">
        <v>382</v>
      </c>
      <c r="D273" s="4">
        <v>46062</v>
      </c>
      <c r="E273" s="2" t="s">
        <v>58</v>
      </c>
      <c r="F273" s="2" t="s">
        <v>32</v>
      </c>
      <c r="G273" s="2" t="s">
        <v>81</v>
      </c>
      <c r="H273" s="2" t="s">
        <v>76</v>
      </c>
      <c r="I273" s="2">
        <v>4</v>
      </c>
      <c r="J273" s="5">
        <v>1446911</v>
      </c>
      <c r="K273" s="5">
        <v>35000</v>
      </c>
      <c r="L273" s="2" t="s">
        <v>35</v>
      </c>
      <c r="M273" s="2" t="s">
        <v>36</v>
      </c>
      <c r="N273" s="2" t="s">
        <v>61</v>
      </c>
    </row>
    <row r="274" spans="1:14" x14ac:dyDescent="0.25">
      <c r="A274" s="2" t="s">
        <v>616</v>
      </c>
      <c r="B274" s="2" t="s">
        <v>192</v>
      </c>
      <c r="C274" s="2" t="s">
        <v>101</v>
      </c>
      <c r="D274" s="4">
        <v>46163</v>
      </c>
      <c r="E274" s="2" t="s">
        <v>80</v>
      </c>
      <c r="F274" s="2" t="s">
        <v>32</v>
      </c>
      <c r="G274" s="2" t="s">
        <v>85</v>
      </c>
      <c r="H274" s="2" t="s">
        <v>34</v>
      </c>
      <c r="I274" s="2">
        <v>3</v>
      </c>
      <c r="J274" s="5">
        <v>1826164</v>
      </c>
      <c r="K274" s="5">
        <v>0</v>
      </c>
      <c r="L274" s="2" t="s">
        <v>35</v>
      </c>
      <c r="M274" s="2" t="s">
        <v>36</v>
      </c>
      <c r="N274" s="2" t="s">
        <v>37</v>
      </c>
    </row>
    <row r="275" spans="1:14" x14ac:dyDescent="0.25">
      <c r="A275" s="2" t="s">
        <v>617</v>
      </c>
      <c r="B275" s="2" t="s">
        <v>618</v>
      </c>
      <c r="C275" s="2" t="s">
        <v>133</v>
      </c>
      <c r="D275" s="4">
        <v>46048</v>
      </c>
      <c r="E275" s="2" t="s">
        <v>53</v>
      </c>
      <c r="F275" s="2" t="s">
        <v>32</v>
      </c>
      <c r="G275" s="2" t="s">
        <v>46</v>
      </c>
      <c r="H275" s="2" t="s">
        <v>47</v>
      </c>
      <c r="I275" s="2">
        <v>4</v>
      </c>
      <c r="J275" s="5">
        <v>1701906</v>
      </c>
      <c r="K275" s="5">
        <v>15000</v>
      </c>
      <c r="L275" s="2" t="s">
        <v>89</v>
      </c>
      <c r="M275" s="2" t="s">
        <v>36</v>
      </c>
      <c r="N275" s="2" t="s">
        <v>61</v>
      </c>
    </row>
    <row r="276" spans="1:14" x14ac:dyDescent="0.25">
      <c r="A276" s="2" t="s">
        <v>619</v>
      </c>
      <c r="B276" s="2" t="s">
        <v>595</v>
      </c>
      <c r="C276" s="2" t="s">
        <v>107</v>
      </c>
      <c r="D276" s="4">
        <v>46112</v>
      </c>
      <c r="E276" s="2" t="s">
        <v>31</v>
      </c>
      <c r="F276" s="2" t="s">
        <v>32</v>
      </c>
      <c r="G276" s="2" t="s">
        <v>60</v>
      </c>
      <c r="H276" s="2" t="s">
        <v>34</v>
      </c>
      <c r="I276" s="2">
        <v>3</v>
      </c>
      <c r="J276" s="5">
        <v>1302779</v>
      </c>
      <c r="K276" s="5">
        <v>50000</v>
      </c>
      <c r="L276" s="2" t="s">
        <v>35</v>
      </c>
      <c r="M276" s="2" t="s">
        <v>71</v>
      </c>
      <c r="N276" s="2" t="s">
        <v>37</v>
      </c>
    </row>
    <row r="277" spans="1:14" x14ac:dyDescent="0.25">
      <c r="A277" s="2" t="s">
        <v>620</v>
      </c>
      <c r="B277" s="2" t="s">
        <v>583</v>
      </c>
      <c r="C277" s="2" t="s">
        <v>377</v>
      </c>
      <c r="D277" s="4">
        <v>46196</v>
      </c>
      <c r="E277" s="2" t="s">
        <v>80</v>
      </c>
      <c r="F277" s="2" t="s">
        <v>65</v>
      </c>
      <c r="G277" s="2" t="s">
        <v>75</v>
      </c>
      <c r="H277" s="2" t="s">
        <v>76</v>
      </c>
      <c r="I277" s="2">
        <v>5</v>
      </c>
      <c r="J277" s="5">
        <v>2350036</v>
      </c>
      <c r="K277" s="5">
        <v>50000</v>
      </c>
      <c r="L277" s="2" t="s">
        <v>48</v>
      </c>
      <c r="M277" s="2" t="s">
        <v>71</v>
      </c>
      <c r="N277" s="2" t="s">
        <v>61</v>
      </c>
    </row>
    <row r="278" spans="1:14" x14ac:dyDescent="0.25">
      <c r="A278" s="2" t="s">
        <v>621</v>
      </c>
      <c r="B278" s="2" t="s">
        <v>446</v>
      </c>
      <c r="C278" s="2" t="s">
        <v>98</v>
      </c>
      <c r="D278" s="4">
        <v>46055</v>
      </c>
      <c r="E278" s="2" t="s">
        <v>80</v>
      </c>
      <c r="F278" s="2" t="s">
        <v>42</v>
      </c>
      <c r="G278" s="2" t="s">
        <v>75</v>
      </c>
      <c r="H278" s="2" t="s">
        <v>76</v>
      </c>
      <c r="I278" s="2">
        <v>5</v>
      </c>
      <c r="J278" s="5">
        <v>718401</v>
      </c>
      <c r="K278" s="5">
        <v>35000</v>
      </c>
      <c r="L278" s="2" t="s">
        <v>35</v>
      </c>
      <c r="M278" s="2" t="s">
        <v>67</v>
      </c>
      <c r="N278" s="2" t="s">
        <v>37</v>
      </c>
    </row>
    <row r="279" spans="1:14" x14ac:dyDescent="0.25">
      <c r="A279" s="2" t="s">
        <v>622</v>
      </c>
      <c r="B279" s="2" t="s">
        <v>69</v>
      </c>
      <c r="C279" s="2" t="s">
        <v>70</v>
      </c>
      <c r="D279" s="4">
        <v>46140</v>
      </c>
      <c r="E279" s="2" t="s">
        <v>41</v>
      </c>
      <c r="F279" s="2" t="s">
        <v>42</v>
      </c>
      <c r="G279" s="2" t="s">
        <v>33</v>
      </c>
      <c r="H279" s="2" t="s">
        <v>54</v>
      </c>
      <c r="I279" s="2">
        <v>3</v>
      </c>
      <c r="J279" s="5">
        <v>887996</v>
      </c>
      <c r="K279" s="5">
        <v>35000</v>
      </c>
      <c r="L279" s="2" t="s">
        <v>48</v>
      </c>
      <c r="M279" s="2" t="s">
        <v>36</v>
      </c>
      <c r="N279" s="2" t="s">
        <v>37</v>
      </c>
    </row>
    <row r="280" spans="1:14" x14ac:dyDescent="0.25">
      <c r="A280" s="2" t="s">
        <v>623</v>
      </c>
      <c r="B280" s="2" t="s">
        <v>549</v>
      </c>
      <c r="C280" s="2" t="s">
        <v>198</v>
      </c>
      <c r="D280" s="4">
        <v>46103</v>
      </c>
      <c r="E280" s="2" t="s">
        <v>31</v>
      </c>
      <c r="F280" s="2" t="s">
        <v>65</v>
      </c>
      <c r="G280" s="2" t="s">
        <v>81</v>
      </c>
      <c r="H280" s="2" t="s">
        <v>66</v>
      </c>
      <c r="I280" s="2">
        <v>1</v>
      </c>
      <c r="J280" s="5">
        <v>498077</v>
      </c>
      <c r="K280" s="5">
        <v>0</v>
      </c>
      <c r="L280" s="2" t="s">
        <v>35</v>
      </c>
      <c r="M280" s="2" t="s">
        <v>49</v>
      </c>
      <c r="N280" s="2" t="s">
        <v>37</v>
      </c>
    </row>
    <row r="281" spans="1:14" x14ac:dyDescent="0.25">
      <c r="A281" s="2" t="s">
        <v>624</v>
      </c>
      <c r="B281" s="2" t="s">
        <v>583</v>
      </c>
      <c r="C281" s="2" t="s">
        <v>377</v>
      </c>
      <c r="D281" s="4">
        <v>46025</v>
      </c>
      <c r="E281" s="2" t="s">
        <v>53</v>
      </c>
      <c r="F281" s="2" t="s">
        <v>65</v>
      </c>
      <c r="G281" s="2" t="s">
        <v>60</v>
      </c>
      <c r="H281" s="2" t="s">
        <v>54</v>
      </c>
      <c r="I281" s="2">
        <v>6</v>
      </c>
      <c r="J281" s="5">
        <v>1898316</v>
      </c>
      <c r="K281" s="5">
        <v>50000</v>
      </c>
      <c r="L281" s="2" t="s">
        <v>35</v>
      </c>
      <c r="M281" s="2" t="s">
        <v>338</v>
      </c>
      <c r="N281" s="2" t="s">
        <v>61</v>
      </c>
    </row>
    <row r="282" spans="1:14" x14ac:dyDescent="0.25">
      <c r="A282" s="2" t="s">
        <v>625</v>
      </c>
      <c r="B282" s="2" t="s">
        <v>626</v>
      </c>
      <c r="C282" s="2" t="s">
        <v>204</v>
      </c>
      <c r="D282" s="4">
        <v>46024</v>
      </c>
      <c r="E282" s="2" t="s">
        <v>53</v>
      </c>
      <c r="F282" s="2" t="s">
        <v>65</v>
      </c>
      <c r="G282" s="2" t="s">
        <v>46</v>
      </c>
      <c r="H282" s="2" t="s">
        <v>47</v>
      </c>
      <c r="I282" s="2">
        <v>6</v>
      </c>
      <c r="J282" s="5">
        <v>1902490</v>
      </c>
      <c r="K282" s="5">
        <v>50000</v>
      </c>
      <c r="L282" s="2" t="s">
        <v>35</v>
      </c>
      <c r="M282" s="2" t="s">
        <v>49</v>
      </c>
      <c r="N282" s="2" t="s">
        <v>61</v>
      </c>
    </row>
    <row r="283" spans="1:14" x14ac:dyDescent="0.25">
      <c r="A283" s="2" t="s">
        <v>627</v>
      </c>
      <c r="B283" s="2" t="s">
        <v>628</v>
      </c>
      <c r="C283" s="2" t="s">
        <v>388</v>
      </c>
      <c r="D283" s="2" t="s">
        <v>629</v>
      </c>
      <c r="E283" s="2" t="s">
        <v>80</v>
      </c>
      <c r="F283" s="2" t="s">
        <v>65</v>
      </c>
      <c r="G283" s="2" t="s">
        <v>60</v>
      </c>
      <c r="H283" s="2" t="s">
        <v>47</v>
      </c>
      <c r="I283" s="2">
        <v>1</v>
      </c>
      <c r="J283" s="5">
        <v>1064006</v>
      </c>
      <c r="K283" s="5">
        <v>15000</v>
      </c>
      <c r="L283" s="2" t="s">
        <v>35</v>
      </c>
      <c r="M283" s="2" t="s">
        <v>67</v>
      </c>
      <c r="N283" s="2" t="s">
        <v>37</v>
      </c>
    </row>
    <row r="284" spans="1:14" x14ac:dyDescent="0.25">
      <c r="A284" s="2" t="s">
        <v>630</v>
      </c>
      <c r="B284" s="2" t="s">
        <v>503</v>
      </c>
      <c r="C284" s="2" t="s">
        <v>141</v>
      </c>
      <c r="D284" s="4">
        <v>46118</v>
      </c>
      <c r="E284" s="2" t="s">
        <v>58</v>
      </c>
      <c r="F284" s="2" t="s">
        <v>32</v>
      </c>
      <c r="G284" s="2" t="s">
        <v>33</v>
      </c>
      <c r="H284" s="2" t="s">
        <v>47</v>
      </c>
      <c r="I284" s="2">
        <v>6</v>
      </c>
      <c r="J284" s="5">
        <v>594935</v>
      </c>
      <c r="K284" s="5">
        <v>25000</v>
      </c>
      <c r="L284" s="2" t="s">
        <v>35</v>
      </c>
      <c r="M284" s="2" t="s">
        <v>36</v>
      </c>
      <c r="N284" s="2" t="s">
        <v>37</v>
      </c>
    </row>
    <row r="285" spans="1:14" x14ac:dyDescent="0.25">
      <c r="A285" s="2" t="s">
        <v>631</v>
      </c>
      <c r="B285" s="2" t="s">
        <v>143</v>
      </c>
      <c r="C285" s="2" t="s">
        <v>144</v>
      </c>
      <c r="D285" s="4">
        <v>46077</v>
      </c>
      <c r="E285" s="2" t="s">
        <v>53</v>
      </c>
      <c r="F285" s="2" t="s">
        <v>65</v>
      </c>
      <c r="G285" s="2" t="s">
        <v>60</v>
      </c>
      <c r="H285" s="2" t="s">
        <v>76</v>
      </c>
      <c r="I285" s="2">
        <v>4</v>
      </c>
      <c r="J285" s="5" t="s">
        <v>632</v>
      </c>
      <c r="K285" s="5">
        <v>50000</v>
      </c>
      <c r="L285" s="2" t="s">
        <v>35</v>
      </c>
      <c r="M285" s="2" t="s">
        <v>443</v>
      </c>
      <c r="N285" s="2" t="s">
        <v>37</v>
      </c>
    </row>
    <row r="286" spans="1:14" x14ac:dyDescent="0.25">
      <c r="A286" s="2" t="s">
        <v>633</v>
      </c>
      <c r="B286" s="2" t="s">
        <v>469</v>
      </c>
      <c r="C286" s="2" t="s">
        <v>470</v>
      </c>
      <c r="D286" s="4">
        <v>46114</v>
      </c>
      <c r="E286" s="2" t="s">
        <v>58</v>
      </c>
      <c r="F286" s="2" t="s">
        <v>32</v>
      </c>
      <c r="G286" s="2" t="s">
        <v>75</v>
      </c>
      <c r="H286" s="2" t="s">
        <v>34</v>
      </c>
      <c r="I286" s="2">
        <v>4</v>
      </c>
      <c r="J286" s="5">
        <v>144709</v>
      </c>
      <c r="K286" s="5">
        <v>50000</v>
      </c>
      <c r="L286" s="2" t="s">
        <v>123</v>
      </c>
      <c r="M286" s="2" t="s">
        <v>36</v>
      </c>
      <c r="N286" s="2" t="s">
        <v>37</v>
      </c>
    </row>
    <row r="287" spans="1:14" x14ac:dyDescent="0.25">
      <c r="A287" s="2" t="s">
        <v>634</v>
      </c>
      <c r="B287" s="2" t="s">
        <v>635</v>
      </c>
      <c r="C287" s="2" t="s">
        <v>636</v>
      </c>
      <c r="D287" s="4">
        <v>46025</v>
      </c>
      <c r="E287" s="2" t="s">
        <v>31</v>
      </c>
      <c r="F287" s="2" t="s">
        <v>59</v>
      </c>
      <c r="G287" s="2" t="s">
        <v>81</v>
      </c>
      <c r="H287" s="2" t="s">
        <v>47</v>
      </c>
      <c r="I287" s="2">
        <v>4</v>
      </c>
      <c r="J287" s="5">
        <v>545041</v>
      </c>
      <c r="K287" s="5">
        <v>35000</v>
      </c>
      <c r="L287" s="2" t="s">
        <v>35</v>
      </c>
      <c r="M287" s="2" t="s">
        <v>36</v>
      </c>
      <c r="N287" s="2" t="s">
        <v>61</v>
      </c>
    </row>
    <row r="288" spans="1:14" x14ac:dyDescent="0.25">
      <c r="A288" s="2" t="s">
        <v>637</v>
      </c>
      <c r="B288" s="2" t="s">
        <v>638</v>
      </c>
      <c r="C288" s="2" t="s">
        <v>241</v>
      </c>
      <c r="D288" s="4">
        <v>46191</v>
      </c>
      <c r="E288" s="2" t="s">
        <v>41</v>
      </c>
      <c r="F288" s="2" t="s">
        <v>42</v>
      </c>
      <c r="G288" s="2" t="s">
        <v>46</v>
      </c>
      <c r="H288" s="2" t="s">
        <v>639</v>
      </c>
      <c r="I288" s="2">
        <v>4</v>
      </c>
      <c r="J288" s="5">
        <v>1169141</v>
      </c>
      <c r="K288" s="5">
        <v>15000</v>
      </c>
      <c r="L288" s="2" t="s">
        <v>35</v>
      </c>
      <c r="M288" s="2" t="s">
        <v>67</v>
      </c>
      <c r="N288" s="2" t="s">
        <v>61</v>
      </c>
    </row>
    <row r="289" spans="1:14" x14ac:dyDescent="0.25">
      <c r="A289" s="2" t="s">
        <v>640</v>
      </c>
      <c r="B289" s="2" t="s">
        <v>641</v>
      </c>
      <c r="C289" s="2" t="s">
        <v>642</v>
      </c>
      <c r="D289" s="4">
        <v>46191</v>
      </c>
      <c r="E289" s="2" t="s">
        <v>80</v>
      </c>
      <c r="F289" s="2" t="s">
        <v>42</v>
      </c>
      <c r="G289" s="2" t="s">
        <v>81</v>
      </c>
      <c r="H289" s="2" t="s">
        <v>34</v>
      </c>
      <c r="I289" s="2">
        <v>2</v>
      </c>
      <c r="J289" s="5">
        <v>1962795</v>
      </c>
      <c r="K289" s="5">
        <v>15000</v>
      </c>
      <c r="L289" s="2" t="s">
        <v>35</v>
      </c>
      <c r="M289" s="2" t="s">
        <v>36</v>
      </c>
      <c r="N289" s="2" t="s">
        <v>37</v>
      </c>
    </row>
    <row r="290" spans="1:14" x14ac:dyDescent="0.25">
      <c r="A290" s="2" t="s">
        <v>643</v>
      </c>
      <c r="B290" s="2" t="s">
        <v>327</v>
      </c>
      <c r="C290" s="2" t="s">
        <v>328</v>
      </c>
      <c r="D290" s="4">
        <v>46057</v>
      </c>
      <c r="E290" s="2" t="s">
        <v>31</v>
      </c>
      <c r="F290" s="2" t="s">
        <v>59</v>
      </c>
      <c r="G290" s="2" t="s">
        <v>75</v>
      </c>
      <c r="H290" s="2" t="s">
        <v>66</v>
      </c>
      <c r="I290" s="2">
        <v>6</v>
      </c>
      <c r="J290" s="5">
        <v>1774845</v>
      </c>
      <c r="K290" s="5">
        <v>35000</v>
      </c>
      <c r="L290" s="2" t="s">
        <v>177</v>
      </c>
      <c r="M290" s="2" t="s">
        <v>67</v>
      </c>
      <c r="N290" s="2" t="s">
        <v>61</v>
      </c>
    </row>
    <row r="291" spans="1:14" x14ac:dyDescent="0.25">
      <c r="A291" s="2" t="s">
        <v>644</v>
      </c>
      <c r="B291" s="2" t="s">
        <v>381</v>
      </c>
      <c r="C291" s="2" t="s">
        <v>382</v>
      </c>
      <c r="D291" s="4">
        <v>46148</v>
      </c>
      <c r="E291" s="2" t="s">
        <v>41</v>
      </c>
      <c r="F291" s="2" t="s">
        <v>59</v>
      </c>
      <c r="G291" s="2" t="s">
        <v>85</v>
      </c>
      <c r="H291" s="2" t="s">
        <v>54</v>
      </c>
      <c r="I291" s="2">
        <v>7</v>
      </c>
      <c r="J291" s="5">
        <v>2427385</v>
      </c>
      <c r="K291" s="5">
        <v>35000</v>
      </c>
      <c r="L291" s="2" t="s">
        <v>35</v>
      </c>
      <c r="M291" s="2" t="s">
        <v>67</v>
      </c>
      <c r="N291" s="2" t="s">
        <v>61</v>
      </c>
    </row>
    <row r="292" spans="1:14" x14ac:dyDescent="0.25">
      <c r="A292" s="2" t="s">
        <v>645</v>
      </c>
      <c r="B292" s="2" t="s">
        <v>405</v>
      </c>
      <c r="C292" s="2" t="s">
        <v>107</v>
      </c>
      <c r="D292" s="4">
        <v>46028</v>
      </c>
      <c r="E292" s="2" t="s">
        <v>31</v>
      </c>
      <c r="F292" s="2" t="s">
        <v>65</v>
      </c>
      <c r="G292" s="2" t="s">
        <v>75</v>
      </c>
      <c r="H292" s="2" t="s">
        <v>547</v>
      </c>
      <c r="I292" s="2">
        <v>3</v>
      </c>
      <c r="J292" s="5">
        <v>649000</v>
      </c>
      <c r="K292" s="5">
        <v>15000</v>
      </c>
      <c r="L292" s="2" t="s">
        <v>35</v>
      </c>
      <c r="M292" s="2" t="s">
        <v>36</v>
      </c>
      <c r="N292" s="2" t="s">
        <v>37</v>
      </c>
    </row>
    <row r="293" spans="1:14" x14ac:dyDescent="0.25">
      <c r="A293" s="2" t="s">
        <v>646</v>
      </c>
      <c r="B293" s="2" t="s">
        <v>647</v>
      </c>
      <c r="C293" s="2" t="s">
        <v>377</v>
      </c>
      <c r="D293" s="4">
        <v>46025</v>
      </c>
      <c r="E293" s="2" t="s">
        <v>41</v>
      </c>
      <c r="F293" s="2" t="s">
        <v>42</v>
      </c>
      <c r="G293" s="2" t="s">
        <v>46</v>
      </c>
      <c r="H293" s="2" t="s">
        <v>34</v>
      </c>
      <c r="I293" s="2">
        <v>3</v>
      </c>
      <c r="J293" s="5">
        <v>1941705</v>
      </c>
      <c r="K293" s="5">
        <v>35000</v>
      </c>
      <c r="L293" s="2" t="s">
        <v>35</v>
      </c>
      <c r="M293" s="2" t="s">
        <v>67</v>
      </c>
      <c r="N293" s="2" t="s">
        <v>61</v>
      </c>
    </row>
    <row r="294" spans="1:14" x14ac:dyDescent="0.25">
      <c r="A294" s="2" t="s">
        <v>648</v>
      </c>
      <c r="B294" s="2" t="s">
        <v>424</v>
      </c>
      <c r="C294" s="2" t="s">
        <v>79</v>
      </c>
      <c r="D294" s="4">
        <v>46094</v>
      </c>
      <c r="E294" s="2" t="s">
        <v>31</v>
      </c>
      <c r="F294" s="2" t="s">
        <v>59</v>
      </c>
      <c r="G294" s="2" t="s">
        <v>584</v>
      </c>
      <c r="H294" s="2" t="s">
        <v>54</v>
      </c>
      <c r="I294" s="2">
        <v>6</v>
      </c>
      <c r="J294" s="5">
        <v>602428</v>
      </c>
      <c r="K294" s="5">
        <v>25000</v>
      </c>
      <c r="L294" s="2" t="s">
        <v>35</v>
      </c>
      <c r="M294" s="2" t="s">
        <v>71</v>
      </c>
      <c r="N294" s="2" t="s">
        <v>61</v>
      </c>
    </row>
    <row r="295" spans="1:14" x14ac:dyDescent="0.25">
      <c r="A295" s="2" t="s">
        <v>649</v>
      </c>
      <c r="B295" s="2" t="s">
        <v>305</v>
      </c>
      <c r="C295" s="2" t="s">
        <v>176</v>
      </c>
      <c r="D295" s="4">
        <v>46174</v>
      </c>
      <c r="E295" s="2" t="s">
        <v>31</v>
      </c>
      <c r="F295" s="2" t="s">
        <v>42</v>
      </c>
      <c r="G295" s="2" t="s">
        <v>60</v>
      </c>
      <c r="H295" s="2" t="s">
        <v>54</v>
      </c>
      <c r="I295" s="2">
        <v>1</v>
      </c>
      <c r="J295" s="5">
        <v>743802</v>
      </c>
      <c r="K295" s="5">
        <v>15000</v>
      </c>
      <c r="L295" s="2" t="s">
        <v>35</v>
      </c>
      <c r="M295" s="2" t="s">
        <v>67</v>
      </c>
      <c r="N295" s="2" t="s">
        <v>61</v>
      </c>
    </row>
    <row r="296" spans="1:14" x14ac:dyDescent="0.25">
      <c r="A296" s="2" t="s">
        <v>650</v>
      </c>
      <c r="B296" s="2" t="s">
        <v>651</v>
      </c>
      <c r="C296" s="2" t="s">
        <v>70</v>
      </c>
      <c r="D296" s="2" t="s">
        <v>652</v>
      </c>
      <c r="E296" s="2" t="s">
        <v>31</v>
      </c>
      <c r="F296" s="2" t="s">
        <v>42</v>
      </c>
      <c r="G296" s="2" t="s">
        <v>33</v>
      </c>
      <c r="H296" s="2" t="s">
        <v>47</v>
      </c>
      <c r="I296" s="2"/>
      <c r="J296" s="5">
        <v>1715314</v>
      </c>
      <c r="K296" s="5">
        <v>35000</v>
      </c>
      <c r="L296" s="2" t="s">
        <v>35</v>
      </c>
      <c r="M296" s="2" t="s">
        <v>36</v>
      </c>
      <c r="N296" s="2" t="s">
        <v>37</v>
      </c>
    </row>
    <row r="297" spans="1:14" x14ac:dyDescent="0.25">
      <c r="A297" s="2" t="s">
        <v>653</v>
      </c>
      <c r="B297" s="2" t="s">
        <v>654</v>
      </c>
      <c r="C297" s="2" t="s">
        <v>388</v>
      </c>
      <c r="D297" s="4">
        <v>46153</v>
      </c>
      <c r="E297" s="2" t="s">
        <v>80</v>
      </c>
      <c r="F297" s="2" t="s">
        <v>59</v>
      </c>
      <c r="G297" s="2" t="s">
        <v>85</v>
      </c>
      <c r="H297" s="2" t="s">
        <v>66</v>
      </c>
      <c r="I297" s="2">
        <v>3</v>
      </c>
      <c r="J297" s="5">
        <v>1911273</v>
      </c>
      <c r="K297" s="5">
        <v>0</v>
      </c>
      <c r="L297" s="2" t="s">
        <v>35</v>
      </c>
      <c r="M297" s="2" t="s">
        <v>36</v>
      </c>
      <c r="N297" s="2" t="s">
        <v>61</v>
      </c>
    </row>
    <row r="298" spans="1:14" x14ac:dyDescent="0.25">
      <c r="A298" s="2" t="s">
        <v>655</v>
      </c>
      <c r="B298" s="2" t="s">
        <v>286</v>
      </c>
      <c r="C298" s="2" t="s">
        <v>45</v>
      </c>
      <c r="D298" s="4">
        <v>46033</v>
      </c>
      <c r="E298" s="2" t="s">
        <v>41</v>
      </c>
      <c r="F298" s="2" t="s">
        <v>656</v>
      </c>
      <c r="G298" s="2" t="s">
        <v>465</v>
      </c>
      <c r="H298" s="2" t="s">
        <v>54</v>
      </c>
      <c r="I298" s="2">
        <v>6</v>
      </c>
      <c r="J298" s="5">
        <v>122247</v>
      </c>
      <c r="K298" s="5">
        <v>0</v>
      </c>
      <c r="L298" s="2" t="s">
        <v>35</v>
      </c>
      <c r="M298" s="2" t="s">
        <v>67</v>
      </c>
      <c r="N298" s="2" t="s">
        <v>37</v>
      </c>
    </row>
    <row r="299" spans="1:14" x14ac:dyDescent="0.25">
      <c r="A299" s="2" t="s">
        <v>657</v>
      </c>
      <c r="B299" s="2" t="s">
        <v>175</v>
      </c>
      <c r="C299" s="2" t="s">
        <v>176</v>
      </c>
      <c r="D299" s="4">
        <v>46087</v>
      </c>
      <c r="E299" s="2" t="s">
        <v>348</v>
      </c>
      <c r="F299" s="2" t="s">
        <v>42</v>
      </c>
      <c r="G299" s="2" t="s">
        <v>33</v>
      </c>
      <c r="H299" s="2" t="s">
        <v>66</v>
      </c>
      <c r="I299" s="2">
        <v>3</v>
      </c>
      <c r="J299" s="5">
        <v>2180604</v>
      </c>
      <c r="K299" s="5">
        <v>25000</v>
      </c>
      <c r="L299" s="2" t="s">
        <v>35</v>
      </c>
      <c r="M299" s="2" t="s">
        <v>67</v>
      </c>
      <c r="N299" s="2" t="s">
        <v>37</v>
      </c>
    </row>
    <row r="300" spans="1:14" x14ac:dyDescent="0.25">
      <c r="A300" s="2" t="s">
        <v>658</v>
      </c>
      <c r="B300" s="2" t="s">
        <v>167</v>
      </c>
      <c r="C300" s="2" t="s">
        <v>84</v>
      </c>
      <c r="D300" s="4">
        <v>46173</v>
      </c>
      <c r="E300" s="2" t="s">
        <v>53</v>
      </c>
      <c r="F300" s="2" t="s">
        <v>59</v>
      </c>
      <c r="G300" s="2" t="s">
        <v>81</v>
      </c>
      <c r="H300" s="2" t="s">
        <v>54</v>
      </c>
      <c r="I300" s="2">
        <v>3</v>
      </c>
      <c r="J300" s="5">
        <v>2338208</v>
      </c>
      <c r="K300" s="5">
        <v>50000</v>
      </c>
      <c r="L300" s="2" t="s">
        <v>35</v>
      </c>
      <c r="M300" s="2" t="s">
        <v>67</v>
      </c>
      <c r="N300" s="2" t="s">
        <v>61</v>
      </c>
    </row>
    <row r="301" spans="1:14" x14ac:dyDescent="0.25">
      <c r="A301" s="2" t="s">
        <v>659</v>
      </c>
      <c r="B301" s="2" t="s">
        <v>369</v>
      </c>
      <c r="C301" s="2" t="s">
        <v>370</v>
      </c>
      <c r="D301" s="4">
        <v>46177</v>
      </c>
      <c r="E301" s="2" t="s">
        <v>31</v>
      </c>
      <c r="F301" s="2" t="s">
        <v>59</v>
      </c>
      <c r="G301" s="2" t="s">
        <v>81</v>
      </c>
      <c r="H301" s="2" t="s">
        <v>54</v>
      </c>
      <c r="I301" s="2">
        <v>5</v>
      </c>
      <c r="J301" s="5">
        <v>624802</v>
      </c>
      <c r="K301" s="5">
        <v>0</v>
      </c>
      <c r="L301" s="2" t="s">
        <v>89</v>
      </c>
      <c r="M301" s="2" t="s">
        <v>49</v>
      </c>
      <c r="N301" s="2" t="s">
        <v>37</v>
      </c>
    </row>
    <row r="302" spans="1:14" x14ac:dyDescent="0.25">
      <c r="A302" s="2" t="s">
        <v>660</v>
      </c>
      <c r="B302" s="2" t="s">
        <v>298</v>
      </c>
      <c r="C302" s="2" t="s">
        <v>88</v>
      </c>
      <c r="D302" s="4">
        <v>46144</v>
      </c>
      <c r="E302" s="2" t="s">
        <v>41</v>
      </c>
      <c r="F302" s="2" t="s">
        <v>32</v>
      </c>
      <c r="G302" s="2" t="s">
        <v>46</v>
      </c>
      <c r="H302" s="2" t="s">
        <v>66</v>
      </c>
      <c r="I302" s="2">
        <v>6</v>
      </c>
      <c r="J302" s="5">
        <v>967245</v>
      </c>
      <c r="K302" s="5">
        <v>50000</v>
      </c>
      <c r="L302" s="2" t="s">
        <v>35</v>
      </c>
      <c r="M302" s="2" t="s">
        <v>67</v>
      </c>
      <c r="N302" s="2" t="s">
        <v>37</v>
      </c>
    </row>
    <row r="303" spans="1:14" x14ac:dyDescent="0.25">
      <c r="A303" s="2" t="s">
        <v>661</v>
      </c>
      <c r="B303" s="2" t="s">
        <v>113</v>
      </c>
      <c r="C303" s="2" t="s">
        <v>114</v>
      </c>
      <c r="D303" s="4">
        <v>46184</v>
      </c>
      <c r="E303" s="2" t="s">
        <v>53</v>
      </c>
      <c r="F303" s="2" t="s">
        <v>65</v>
      </c>
      <c r="G303" s="2" t="s">
        <v>85</v>
      </c>
      <c r="H303" s="2" t="s">
        <v>76</v>
      </c>
      <c r="I303" s="2">
        <v>1</v>
      </c>
      <c r="J303" s="5">
        <v>612532</v>
      </c>
      <c r="K303" s="5">
        <v>35000</v>
      </c>
      <c r="L303" s="2" t="s">
        <v>35</v>
      </c>
      <c r="M303" s="2" t="s">
        <v>36</v>
      </c>
      <c r="N303" s="2" t="s">
        <v>37</v>
      </c>
    </row>
    <row r="304" spans="1:14" x14ac:dyDescent="0.25">
      <c r="A304" s="2" t="s">
        <v>662</v>
      </c>
      <c r="B304" s="2" t="s">
        <v>551</v>
      </c>
      <c r="C304" s="2" t="s">
        <v>84</v>
      </c>
      <c r="D304" s="4">
        <v>46056</v>
      </c>
      <c r="E304" s="2" t="s">
        <v>31</v>
      </c>
      <c r="F304" s="2" t="s">
        <v>59</v>
      </c>
      <c r="G304" s="2" t="s">
        <v>60</v>
      </c>
      <c r="H304" s="2" t="s">
        <v>76</v>
      </c>
      <c r="I304" s="2">
        <v>5</v>
      </c>
      <c r="J304" s="5">
        <v>1334906</v>
      </c>
      <c r="K304" s="5">
        <v>0</v>
      </c>
      <c r="L304" s="2" t="s">
        <v>35</v>
      </c>
      <c r="M304" s="2" t="s">
        <v>49</v>
      </c>
      <c r="N304" s="2" t="s">
        <v>61</v>
      </c>
    </row>
    <row r="305" spans="1:14" x14ac:dyDescent="0.25">
      <c r="A305" s="2" t="s">
        <v>663</v>
      </c>
      <c r="B305" s="2" t="s">
        <v>106</v>
      </c>
      <c r="C305" s="2" t="s">
        <v>107</v>
      </c>
      <c r="D305" s="4">
        <v>46135</v>
      </c>
      <c r="E305" s="2" t="s">
        <v>80</v>
      </c>
      <c r="F305" s="2" t="s">
        <v>42</v>
      </c>
      <c r="G305" s="2" t="s">
        <v>85</v>
      </c>
      <c r="H305" s="2" t="s">
        <v>54</v>
      </c>
      <c r="I305" s="2">
        <v>5</v>
      </c>
      <c r="J305" s="5">
        <v>2256068</v>
      </c>
      <c r="K305" s="5">
        <v>35000</v>
      </c>
      <c r="L305" s="2" t="s">
        <v>35</v>
      </c>
      <c r="M305" s="2" t="s">
        <v>36</v>
      </c>
      <c r="N305" s="2" t="s">
        <v>61</v>
      </c>
    </row>
    <row r="306" spans="1:14" x14ac:dyDescent="0.25">
      <c r="A306" s="2" t="s">
        <v>664</v>
      </c>
      <c r="B306" s="2" t="s">
        <v>665</v>
      </c>
      <c r="C306" s="2" t="s">
        <v>666</v>
      </c>
      <c r="D306" s="4">
        <v>46078</v>
      </c>
      <c r="E306" s="2" t="s">
        <v>80</v>
      </c>
      <c r="F306" s="2" t="s">
        <v>32</v>
      </c>
      <c r="G306" s="2" t="s">
        <v>85</v>
      </c>
      <c r="H306" s="2" t="s">
        <v>66</v>
      </c>
      <c r="I306" s="2">
        <v>4</v>
      </c>
      <c r="J306" s="5">
        <v>157167</v>
      </c>
      <c r="K306" s="5">
        <v>50000</v>
      </c>
      <c r="L306" s="2" t="s">
        <v>35</v>
      </c>
      <c r="M306" s="2" t="s">
        <v>36</v>
      </c>
      <c r="N306" s="2" t="s">
        <v>37</v>
      </c>
    </row>
    <row r="307" spans="1:14" x14ac:dyDescent="0.25">
      <c r="A307" s="2" t="s">
        <v>667</v>
      </c>
      <c r="B307" s="2" t="s">
        <v>140</v>
      </c>
      <c r="C307" s="2" t="s">
        <v>141</v>
      </c>
      <c r="D307" s="4">
        <v>46053</v>
      </c>
      <c r="E307" s="2" t="s">
        <v>31</v>
      </c>
      <c r="F307" s="2" t="s">
        <v>32</v>
      </c>
      <c r="G307" s="2" t="s">
        <v>85</v>
      </c>
      <c r="H307" s="2" t="s">
        <v>66</v>
      </c>
      <c r="I307" s="2">
        <v>1</v>
      </c>
      <c r="J307" s="5">
        <v>837683</v>
      </c>
      <c r="K307" s="5">
        <v>15000</v>
      </c>
      <c r="L307" s="2" t="s">
        <v>35</v>
      </c>
      <c r="M307" s="2" t="s">
        <v>67</v>
      </c>
      <c r="N307" s="2" t="s">
        <v>61</v>
      </c>
    </row>
    <row r="308" spans="1:14" x14ac:dyDescent="0.25">
      <c r="A308" s="2" t="s">
        <v>668</v>
      </c>
      <c r="B308" s="2" t="s">
        <v>669</v>
      </c>
      <c r="C308" s="2" t="s">
        <v>129</v>
      </c>
      <c r="D308" s="4">
        <v>46086</v>
      </c>
      <c r="E308" s="2" t="s">
        <v>53</v>
      </c>
      <c r="F308" s="2" t="s">
        <v>32</v>
      </c>
      <c r="G308" s="2" t="s">
        <v>33</v>
      </c>
      <c r="H308" s="2" t="s">
        <v>54</v>
      </c>
      <c r="I308" s="2">
        <v>1</v>
      </c>
      <c r="J308" s="5">
        <v>1000688</v>
      </c>
      <c r="K308" s="5">
        <v>50000</v>
      </c>
      <c r="L308" s="2" t="s">
        <v>35</v>
      </c>
      <c r="M308" s="2" t="s">
        <v>67</v>
      </c>
      <c r="N308" s="2" t="s">
        <v>37</v>
      </c>
    </row>
    <row r="309" spans="1:14" x14ac:dyDescent="0.25">
      <c r="A309" s="2" t="s">
        <v>670</v>
      </c>
      <c r="B309" s="2" t="s">
        <v>498</v>
      </c>
      <c r="C309" s="2" t="s">
        <v>388</v>
      </c>
      <c r="D309" s="4">
        <v>46057</v>
      </c>
      <c r="E309" s="2" t="s">
        <v>58</v>
      </c>
      <c r="F309" s="2" t="s">
        <v>32</v>
      </c>
      <c r="G309" s="2" t="s">
        <v>85</v>
      </c>
      <c r="H309" s="2" t="s">
        <v>66</v>
      </c>
      <c r="I309" s="2">
        <v>3</v>
      </c>
      <c r="J309" s="5">
        <v>1832714</v>
      </c>
      <c r="K309" s="5">
        <v>50000</v>
      </c>
      <c r="L309" s="2" t="s">
        <v>35</v>
      </c>
      <c r="M309" s="2" t="s">
        <v>67</v>
      </c>
      <c r="N309" s="2" t="s">
        <v>61</v>
      </c>
    </row>
    <row r="310" spans="1:14" x14ac:dyDescent="0.25">
      <c r="A310" s="2" t="s">
        <v>671</v>
      </c>
      <c r="B310" s="2" t="s">
        <v>490</v>
      </c>
      <c r="C310" s="2" t="s">
        <v>672</v>
      </c>
      <c r="D310" s="4">
        <v>46027</v>
      </c>
      <c r="E310" s="2" t="s">
        <v>80</v>
      </c>
      <c r="F310" s="2" t="s">
        <v>42</v>
      </c>
      <c r="G310" s="2" t="s">
        <v>60</v>
      </c>
      <c r="H310" s="2" t="s">
        <v>34</v>
      </c>
      <c r="I310" s="2">
        <v>1</v>
      </c>
      <c r="J310" s="5">
        <v>2373971</v>
      </c>
      <c r="K310" s="5">
        <v>50000</v>
      </c>
      <c r="L310" s="2" t="s">
        <v>35</v>
      </c>
      <c r="M310" s="2" t="s">
        <v>36</v>
      </c>
      <c r="N310" s="2" t="s">
        <v>37</v>
      </c>
    </row>
    <row r="311" spans="1:14" x14ac:dyDescent="0.25">
      <c r="A311" s="2" t="s">
        <v>673</v>
      </c>
      <c r="B311" s="2" t="s">
        <v>325</v>
      </c>
      <c r="C311" s="2" t="s">
        <v>158</v>
      </c>
      <c r="D311" s="4">
        <v>46075</v>
      </c>
      <c r="E311" s="2" t="s">
        <v>80</v>
      </c>
      <c r="F311" s="2" t="s">
        <v>42</v>
      </c>
      <c r="G311" s="2" t="s">
        <v>60</v>
      </c>
      <c r="H311" s="2" t="s">
        <v>54</v>
      </c>
      <c r="I311" s="2">
        <v>4</v>
      </c>
      <c r="J311" s="5">
        <v>1778693</v>
      </c>
      <c r="K311" s="5">
        <v>15000</v>
      </c>
      <c r="L311" s="2" t="s">
        <v>35</v>
      </c>
      <c r="M311" s="2" t="s">
        <v>36</v>
      </c>
      <c r="N311" s="2" t="s">
        <v>37</v>
      </c>
    </row>
    <row r="312" spans="1:14" x14ac:dyDescent="0.25">
      <c r="A312" s="2" t="s">
        <v>674</v>
      </c>
      <c r="B312" s="2" t="s">
        <v>286</v>
      </c>
      <c r="C312" s="2" t="s">
        <v>45</v>
      </c>
      <c r="D312" s="4">
        <v>46140</v>
      </c>
      <c r="E312" s="2" t="s">
        <v>31</v>
      </c>
      <c r="F312" s="2" t="s">
        <v>32</v>
      </c>
      <c r="G312" s="2" t="s">
        <v>81</v>
      </c>
      <c r="H312" s="2" t="s">
        <v>66</v>
      </c>
      <c r="I312" s="2">
        <v>2</v>
      </c>
      <c r="J312" s="5">
        <v>896063</v>
      </c>
      <c r="K312" s="5">
        <v>15000</v>
      </c>
      <c r="L312" s="2" t="s">
        <v>35</v>
      </c>
      <c r="M312" s="2" t="s">
        <v>49</v>
      </c>
      <c r="N312" s="2" t="s">
        <v>61</v>
      </c>
    </row>
    <row r="313" spans="1:14" x14ac:dyDescent="0.25">
      <c r="A313" s="2" t="s">
        <v>675</v>
      </c>
      <c r="B313" s="2" t="s">
        <v>430</v>
      </c>
      <c r="C313" s="2" t="s">
        <v>45</v>
      </c>
      <c r="D313" s="4">
        <v>46068</v>
      </c>
      <c r="E313" s="2" t="s">
        <v>31</v>
      </c>
      <c r="F313" s="2" t="s">
        <v>59</v>
      </c>
      <c r="G313" s="2" t="s">
        <v>75</v>
      </c>
      <c r="H313" s="2" t="s">
        <v>47</v>
      </c>
      <c r="I313" s="2">
        <v>2</v>
      </c>
      <c r="J313" s="5">
        <v>1773383</v>
      </c>
      <c r="K313" s="5">
        <v>50000</v>
      </c>
      <c r="L313" s="2" t="s">
        <v>35</v>
      </c>
      <c r="M313" s="2" t="s">
        <v>67</v>
      </c>
      <c r="N313" s="2" t="s">
        <v>61</v>
      </c>
    </row>
    <row r="314" spans="1:14" x14ac:dyDescent="0.25">
      <c r="A314" s="2" t="s">
        <v>676</v>
      </c>
      <c r="B314" s="2" t="s">
        <v>182</v>
      </c>
      <c r="C314" s="2" t="s">
        <v>200</v>
      </c>
      <c r="D314" s="4">
        <v>46157</v>
      </c>
      <c r="E314" s="2" t="s">
        <v>58</v>
      </c>
      <c r="F314" s="2" t="s">
        <v>65</v>
      </c>
      <c r="G314" s="2" t="s">
        <v>75</v>
      </c>
      <c r="H314" s="2" t="s">
        <v>54</v>
      </c>
      <c r="I314" s="2">
        <v>5</v>
      </c>
      <c r="J314" s="5">
        <v>695841</v>
      </c>
      <c r="K314" s="5">
        <v>0</v>
      </c>
      <c r="L314" s="2" t="s">
        <v>35</v>
      </c>
      <c r="M314" s="2" t="s">
        <v>36</v>
      </c>
      <c r="N314" s="2" t="s">
        <v>61</v>
      </c>
    </row>
    <row r="315" spans="1:14" x14ac:dyDescent="0.25">
      <c r="A315" s="2" t="s">
        <v>677</v>
      </c>
      <c r="B315" s="2" t="s">
        <v>424</v>
      </c>
      <c r="C315" s="2" t="s">
        <v>79</v>
      </c>
      <c r="D315" s="4">
        <v>46044</v>
      </c>
      <c r="E315" s="2" t="s">
        <v>678</v>
      </c>
      <c r="F315" s="2" t="s">
        <v>65</v>
      </c>
      <c r="G315" s="2" t="s">
        <v>46</v>
      </c>
      <c r="H315" s="2" t="s">
        <v>66</v>
      </c>
      <c r="I315" s="2">
        <v>6</v>
      </c>
      <c r="J315" s="5">
        <v>1242632</v>
      </c>
      <c r="K315" s="5">
        <v>15000</v>
      </c>
      <c r="L315" s="2" t="s">
        <v>35</v>
      </c>
      <c r="M315" s="2" t="s">
        <v>71</v>
      </c>
      <c r="N315" s="2" t="s">
        <v>61</v>
      </c>
    </row>
    <row r="316" spans="1:14" x14ac:dyDescent="0.25">
      <c r="A316" s="2" t="s">
        <v>679</v>
      </c>
      <c r="B316" s="2" t="s">
        <v>240</v>
      </c>
      <c r="C316" s="2" t="s">
        <v>241</v>
      </c>
      <c r="D316" s="4">
        <v>46058</v>
      </c>
      <c r="E316" s="2" t="s">
        <v>31</v>
      </c>
      <c r="F316" s="2" t="s">
        <v>65</v>
      </c>
      <c r="G316" s="2" t="s">
        <v>46</v>
      </c>
      <c r="H316" s="2" t="s">
        <v>66</v>
      </c>
      <c r="I316" s="2">
        <v>4</v>
      </c>
      <c r="J316" s="5">
        <v>2135050</v>
      </c>
      <c r="K316" s="5">
        <v>50000</v>
      </c>
      <c r="L316" s="2" t="s">
        <v>48</v>
      </c>
      <c r="M316" s="2" t="s">
        <v>71</v>
      </c>
      <c r="N316" s="2" t="s">
        <v>61</v>
      </c>
    </row>
    <row r="317" spans="1:14" x14ac:dyDescent="0.25">
      <c r="A317" s="2" t="s">
        <v>680</v>
      </c>
      <c r="B317" s="2" t="s">
        <v>681</v>
      </c>
      <c r="C317" s="2" t="s">
        <v>57</v>
      </c>
      <c r="D317" s="4">
        <v>46034</v>
      </c>
      <c r="E317" s="2" t="s">
        <v>41</v>
      </c>
      <c r="F317" s="2" t="s">
        <v>42</v>
      </c>
      <c r="G317" s="2" t="s">
        <v>81</v>
      </c>
      <c r="H317" s="2" t="s">
        <v>34</v>
      </c>
      <c r="I317" s="2">
        <v>3</v>
      </c>
      <c r="J317" s="5">
        <v>551238</v>
      </c>
      <c r="K317" s="5">
        <v>50000</v>
      </c>
      <c r="L317" s="2" t="s">
        <v>35</v>
      </c>
      <c r="M317" s="2" t="s">
        <v>71</v>
      </c>
      <c r="N317" s="2" t="s">
        <v>61</v>
      </c>
    </row>
    <row r="318" spans="1:14" x14ac:dyDescent="0.25">
      <c r="A318" s="2" t="s">
        <v>682</v>
      </c>
      <c r="B318" s="2" t="s">
        <v>683</v>
      </c>
      <c r="C318" s="2" t="s">
        <v>170</v>
      </c>
      <c r="D318" s="4">
        <v>46132</v>
      </c>
      <c r="E318" s="2" t="s">
        <v>41</v>
      </c>
      <c r="F318" s="2" t="s">
        <v>65</v>
      </c>
      <c r="G318" s="2" t="s">
        <v>60</v>
      </c>
      <c r="H318" s="2" t="s">
        <v>34</v>
      </c>
      <c r="I318" s="2">
        <v>3</v>
      </c>
      <c r="J318" s="5">
        <v>1736413</v>
      </c>
      <c r="K318" s="5">
        <v>15000</v>
      </c>
      <c r="L318" s="2" t="s">
        <v>35</v>
      </c>
      <c r="M318" s="2" t="s">
        <v>67</v>
      </c>
      <c r="N318" s="2" t="s">
        <v>61</v>
      </c>
    </row>
    <row r="319" spans="1:14" x14ac:dyDescent="0.25">
      <c r="A319" s="2" t="s">
        <v>684</v>
      </c>
      <c r="B319" s="2" t="s">
        <v>685</v>
      </c>
      <c r="C319" s="2" t="s">
        <v>79</v>
      </c>
      <c r="D319" s="4">
        <v>46049</v>
      </c>
      <c r="E319" s="2" t="s">
        <v>58</v>
      </c>
      <c r="F319" s="2" t="s">
        <v>65</v>
      </c>
      <c r="G319" s="2" t="s">
        <v>46</v>
      </c>
      <c r="H319" s="2" t="s">
        <v>34</v>
      </c>
      <c r="I319" s="2">
        <v>1</v>
      </c>
      <c r="J319" s="5">
        <v>1302014</v>
      </c>
      <c r="K319" s="5">
        <v>25000</v>
      </c>
      <c r="L319" s="2" t="s">
        <v>35</v>
      </c>
      <c r="M319" s="2" t="s">
        <v>67</v>
      </c>
      <c r="N319" s="2" t="s">
        <v>61</v>
      </c>
    </row>
    <row r="320" spans="1:14" x14ac:dyDescent="0.25">
      <c r="A320" s="2" t="s">
        <v>686</v>
      </c>
      <c r="B320" s="2" t="s">
        <v>544</v>
      </c>
      <c r="C320" s="2" t="s">
        <v>377</v>
      </c>
      <c r="D320" s="4">
        <v>46158</v>
      </c>
      <c r="E320" s="2" t="s">
        <v>80</v>
      </c>
      <c r="F320" s="2" t="s">
        <v>32</v>
      </c>
      <c r="G320" s="2" t="s">
        <v>33</v>
      </c>
      <c r="H320" s="2" t="s">
        <v>54</v>
      </c>
      <c r="I320" s="2">
        <v>2</v>
      </c>
      <c r="J320" s="5">
        <v>1524437</v>
      </c>
      <c r="K320" s="5">
        <v>50000</v>
      </c>
      <c r="L320" s="2" t="s">
        <v>35</v>
      </c>
      <c r="M320" s="2" t="s">
        <v>67</v>
      </c>
      <c r="N320" s="2" t="s">
        <v>37</v>
      </c>
    </row>
    <row r="321" spans="1:14" x14ac:dyDescent="0.25">
      <c r="A321" s="2" t="s">
        <v>687</v>
      </c>
      <c r="B321" s="2" t="s">
        <v>688</v>
      </c>
      <c r="C321" s="2" t="s">
        <v>689</v>
      </c>
      <c r="D321" s="4">
        <v>46150</v>
      </c>
      <c r="E321" s="2" t="s">
        <v>58</v>
      </c>
      <c r="F321" s="2" t="s">
        <v>42</v>
      </c>
      <c r="G321" s="2" t="s">
        <v>75</v>
      </c>
      <c r="H321" s="2" t="s">
        <v>34</v>
      </c>
      <c r="I321" s="2">
        <v>7</v>
      </c>
      <c r="J321" s="5">
        <v>1668170</v>
      </c>
      <c r="K321" s="5">
        <v>25000</v>
      </c>
      <c r="L321" s="2" t="s">
        <v>245</v>
      </c>
      <c r="M321" s="2" t="s">
        <v>71</v>
      </c>
      <c r="N321" s="2" t="s">
        <v>37</v>
      </c>
    </row>
    <row r="322" spans="1:14" x14ac:dyDescent="0.25">
      <c r="A322" s="2" t="s">
        <v>690</v>
      </c>
      <c r="B322" s="2" t="s">
        <v>128</v>
      </c>
      <c r="C322" s="2" t="s">
        <v>129</v>
      </c>
      <c r="D322" s="4">
        <v>46122</v>
      </c>
      <c r="E322" s="2" t="s">
        <v>80</v>
      </c>
      <c r="F322" s="2" t="s">
        <v>42</v>
      </c>
      <c r="G322" s="2" t="s">
        <v>81</v>
      </c>
      <c r="H322" s="2" t="s">
        <v>66</v>
      </c>
      <c r="I322" s="2">
        <v>7</v>
      </c>
      <c r="J322" s="5">
        <v>1993576</v>
      </c>
      <c r="K322" s="5">
        <v>35000</v>
      </c>
      <c r="L322" s="2" t="s">
        <v>35</v>
      </c>
      <c r="M322" s="2" t="s">
        <v>36</v>
      </c>
      <c r="N322" s="2" t="s">
        <v>61</v>
      </c>
    </row>
    <row r="323" spans="1:14" x14ac:dyDescent="0.25">
      <c r="A323" s="2" t="s">
        <v>691</v>
      </c>
      <c r="B323" s="2" t="s">
        <v>286</v>
      </c>
      <c r="C323" s="2" t="s">
        <v>45</v>
      </c>
      <c r="D323" s="4">
        <v>46121</v>
      </c>
      <c r="E323" s="2" t="s">
        <v>41</v>
      </c>
      <c r="F323" s="2" t="s">
        <v>32</v>
      </c>
      <c r="G323" s="2" t="s">
        <v>85</v>
      </c>
      <c r="H323" s="2" t="s">
        <v>34</v>
      </c>
      <c r="I323" s="2">
        <v>4</v>
      </c>
      <c r="J323" s="5">
        <v>1598948</v>
      </c>
      <c r="K323" s="5">
        <v>25000</v>
      </c>
      <c r="L323" s="2" t="s">
        <v>35</v>
      </c>
      <c r="M323" s="2" t="s">
        <v>36</v>
      </c>
      <c r="N323" s="2" t="s">
        <v>37</v>
      </c>
    </row>
    <row r="324" spans="1:14" x14ac:dyDescent="0.25">
      <c r="A324" s="2" t="s">
        <v>692</v>
      </c>
      <c r="B324" s="2" t="s">
        <v>381</v>
      </c>
      <c r="C324" s="2" t="s">
        <v>382</v>
      </c>
      <c r="D324" s="4">
        <v>46163</v>
      </c>
      <c r="E324" s="2" t="s">
        <v>31</v>
      </c>
      <c r="F324" s="2" t="s">
        <v>59</v>
      </c>
      <c r="G324" s="2" t="s">
        <v>81</v>
      </c>
      <c r="H324" s="2" t="s">
        <v>76</v>
      </c>
      <c r="I324" s="2">
        <v>5</v>
      </c>
      <c r="J324" s="5">
        <v>2204998</v>
      </c>
      <c r="K324" s="5">
        <v>50000</v>
      </c>
      <c r="L324" s="2" t="s">
        <v>35</v>
      </c>
      <c r="M324" s="2" t="s">
        <v>338</v>
      </c>
      <c r="N324" s="2" t="s">
        <v>37</v>
      </c>
    </row>
    <row r="325" spans="1:14" x14ac:dyDescent="0.25">
      <c r="A325" s="2" t="s">
        <v>693</v>
      </c>
      <c r="B325" s="2" t="s">
        <v>694</v>
      </c>
      <c r="C325" s="2" t="s">
        <v>208</v>
      </c>
      <c r="D325" s="4">
        <v>46170</v>
      </c>
      <c r="E325" s="2" t="s">
        <v>58</v>
      </c>
      <c r="F325" s="2" t="s">
        <v>32</v>
      </c>
      <c r="G325" s="2" t="s">
        <v>46</v>
      </c>
      <c r="H325" s="2" t="s">
        <v>47</v>
      </c>
      <c r="I325" s="2">
        <v>2</v>
      </c>
      <c r="J325" s="5">
        <v>1039953</v>
      </c>
      <c r="K325" s="5">
        <v>0</v>
      </c>
      <c r="L325" s="2" t="s">
        <v>35</v>
      </c>
      <c r="M325" s="2" t="s">
        <v>67</v>
      </c>
      <c r="N325" s="2" t="s">
        <v>61</v>
      </c>
    </row>
    <row r="326" spans="1:14" x14ac:dyDescent="0.25">
      <c r="A326" s="2" t="s">
        <v>695</v>
      </c>
      <c r="B326" s="2" t="s">
        <v>696</v>
      </c>
      <c r="C326" s="2" t="s">
        <v>689</v>
      </c>
      <c r="D326" s="4">
        <v>46051</v>
      </c>
      <c r="E326" s="2" t="s">
        <v>80</v>
      </c>
      <c r="F326" s="2" t="s">
        <v>59</v>
      </c>
      <c r="G326" s="2" t="s">
        <v>85</v>
      </c>
      <c r="H326" s="2" t="s">
        <v>76</v>
      </c>
      <c r="I326" s="2">
        <v>3</v>
      </c>
      <c r="J326" s="5" t="s">
        <v>697</v>
      </c>
      <c r="K326" s="5">
        <v>25000</v>
      </c>
      <c r="L326" s="2" t="s">
        <v>48</v>
      </c>
      <c r="M326" s="2" t="s">
        <v>49</v>
      </c>
      <c r="N326" s="2" t="s">
        <v>37</v>
      </c>
    </row>
    <row r="327" spans="1:14" x14ac:dyDescent="0.25">
      <c r="A327" s="2" t="s">
        <v>698</v>
      </c>
      <c r="B327" s="2" t="s">
        <v>699</v>
      </c>
      <c r="C327" s="2" t="s">
        <v>104</v>
      </c>
      <c r="D327" s="4">
        <v>46076</v>
      </c>
      <c r="E327" s="2" t="s">
        <v>31</v>
      </c>
      <c r="F327" s="2" t="s">
        <v>59</v>
      </c>
      <c r="G327" s="2" t="s">
        <v>75</v>
      </c>
      <c r="H327" s="2" t="s">
        <v>54</v>
      </c>
      <c r="I327" s="2">
        <v>6</v>
      </c>
      <c r="J327" s="5">
        <v>1061986</v>
      </c>
      <c r="K327" s="5">
        <v>0</v>
      </c>
      <c r="L327" s="2" t="s">
        <v>35</v>
      </c>
      <c r="M327" s="2" t="s">
        <v>49</v>
      </c>
      <c r="N327" s="2" t="s">
        <v>37</v>
      </c>
    </row>
    <row r="328" spans="1:14" x14ac:dyDescent="0.25">
      <c r="A328" s="2" t="s">
        <v>700</v>
      </c>
      <c r="B328" s="2" t="s">
        <v>149</v>
      </c>
      <c r="C328" s="2" t="s">
        <v>114</v>
      </c>
      <c r="D328" s="4">
        <v>46036</v>
      </c>
      <c r="E328" s="2" t="s">
        <v>31</v>
      </c>
      <c r="F328" s="2" t="s">
        <v>65</v>
      </c>
      <c r="G328" s="2" t="s">
        <v>85</v>
      </c>
      <c r="H328" s="2" t="s">
        <v>66</v>
      </c>
      <c r="I328" s="2">
        <v>1</v>
      </c>
      <c r="J328" s="5">
        <v>564637</v>
      </c>
      <c r="K328" s="5">
        <v>50000</v>
      </c>
      <c r="L328" s="2" t="s">
        <v>35</v>
      </c>
      <c r="M328" s="2" t="s">
        <v>36</v>
      </c>
      <c r="N328" s="2" t="s">
        <v>61</v>
      </c>
    </row>
    <row r="329" spans="1:14" x14ac:dyDescent="0.25">
      <c r="A329" s="2" t="s">
        <v>701</v>
      </c>
      <c r="B329" s="2" t="s">
        <v>702</v>
      </c>
      <c r="C329" s="2" t="s">
        <v>101</v>
      </c>
      <c r="D329" s="4">
        <v>46085</v>
      </c>
      <c r="E329" s="2" t="s">
        <v>41</v>
      </c>
      <c r="F329" s="2" t="s">
        <v>42</v>
      </c>
      <c r="G329" s="2" t="s">
        <v>75</v>
      </c>
      <c r="H329" s="2" t="s">
        <v>76</v>
      </c>
      <c r="I329" s="2">
        <v>5</v>
      </c>
      <c r="J329" s="5">
        <v>443235</v>
      </c>
      <c r="K329" s="5">
        <v>0</v>
      </c>
      <c r="L329" s="2" t="s">
        <v>349</v>
      </c>
      <c r="M329" s="2" t="s">
        <v>49</v>
      </c>
      <c r="N329" s="2" t="s">
        <v>37</v>
      </c>
    </row>
    <row r="330" spans="1:14" x14ac:dyDescent="0.25">
      <c r="A330" s="2" t="s">
        <v>703</v>
      </c>
      <c r="B330" s="2" t="s">
        <v>172</v>
      </c>
      <c r="C330" s="2" t="s">
        <v>173</v>
      </c>
      <c r="D330" s="2" t="s">
        <v>704</v>
      </c>
      <c r="E330" s="2" t="s">
        <v>58</v>
      </c>
      <c r="F330" s="2" t="s">
        <v>42</v>
      </c>
      <c r="G330" s="2" t="s">
        <v>81</v>
      </c>
      <c r="H330" s="2" t="s">
        <v>54</v>
      </c>
      <c r="I330" s="2">
        <v>7</v>
      </c>
      <c r="J330" s="5">
        <v>1534893</v>
      </c>
      <c r="K330" s="5">
        <v>35000</v>
      </c>
      <c r="L330" s="2" t="s">
        <v>35</v>
      </c>
      <c r="M330" s="2" t="s">
        <v>67</v>
      </c>
      <c r="N330" s="2" t="s">
        <v>61</v>
      </c>
    </row>
    <row r="331" spans="1:14" x14ac:dyDescent="0.25">
      <c r="A331" s="2" t="s">
        <v>705</v>
      </c>
      <c r="B331" s="2" t="s">
        <v>590</v>
      </c>
      <c r="C331" s="2" t="s">
        <v>176</v>
      </c>
      <c r="D331" s="4">
        <v>46064</v>
      </c>
      <c r="E331" s="2" t="s">
        <v>41</v>
      </c>
      <c r="F331" s="2" t="s">
        <v>32</v>
      </c>
      <c r="G331" s="2" t="s">
        <v>46</v>
      </c>
      <c r="H331" s="2" t="s">
        <v>353</v>
      </c>
      <c r="I331" s="2">
        <v>7</v>
      </c>
      <c r="J331" s="5">
        <v>165581</v>
      </c>
      <c r="K331" s="5">
        <v>35000</v>
      </c>
      <c r="L331" s="2" t="s">
        <v>35</v>
      </c>
      <c r="M331" s="2" t="s">
        <v>49</v>
      </c>
      <c r="N331" s="2" t="s">
        <v>37</v>
      </c>
    </row>
    <row r="332" spans="1:14" x14ac:dyDescent="0.25">
      <c r="A332" s="2" t="s">
        <v>706</v>
      </c>
      <c r="B332" s="2" t="s">
        <v>707</v>
      </c>
      <c r="C332" s="2" t="s">
        <v>70</v>
      </c>
      <c r="D332" s="4">
        <v>46081</v>
      </c>
      <c r="E332" s="2" t="s">
        <v>31</v>
      </c>
      <c r="F332" s="2" t="s">
        <v>42</v>
      </c>
      <c r="G332" s="2" t="s">
        <v>60</v>
      </c>
      <c r="H332" s="2" t="s">
        <v>76</v>
      </c>
      <c r="I332" s="2">
        <v>3</v>
      </c>
      <c r="J332" s="5">
        <v>1897001</v>
      </c>
      <c r="K332" s="5">
        <v>15000</v>
      </c>
      <c r="L332" s="2" t="s">
        <v>89</v>
      </c>
      <c r="M332" s="2" t="s">
        <v>49</v>
      </c>
      <c r="N332" s="2" t="s">
        <v>61</v>
      </c>
    </row>
    <row r="333" spans="1:14" x14ac:dyDescent="0.25">
      <c r="A333" s="2" t="s">
        <v>708</v>
      </c>
      <c r="B333" s="2" t="s">
        <v>528</v>
      </c>
      <c r="C333" s="2" t="s">
        <v>170</v>
      </c>
      <c r="D333" s="2"/>
      <c r="E333" s="2" t="s">
        <v>80</v>
      </c>
      <c r="F333" s="2" t="s">
        <v>59</v>
      </c>
      <c r="G333" s="2" t="s">
        <v>60</v>
      </c>
      <c r="H333" s="2" t="s">
        <v>34</v>
      </c>
      <c r="I333" s="2">
        <v>5</v>
      </c>
      <c r="J333" s="5"/>
      <c r="K333" s="5">
        <v>50000</v>
      </c>
      <c r="L333" s="2" t="s">
        <v>48</v>
      </c>
      <c r="M333" s="2" t="s">
        <v>71</v>
      </c>
      <c r="N333" s="2" t="s">
        <v>61</v>
      </c>
    </row>
    <row r="334" spans="1:14" x14ac:dyDescent="0.25">
      <c r="A334" s="2" t="s">
        <v>709</v>
      </c>
      <c r="B334" s="2" t="s">
        <v>710</v>
      </c>
      <c r="C334" s="2" t="s">
        <v>101</v>
      </c>
      <c r="D334" s="4">
        <v>46118</v>
      </c>
      <c r="E334" s="2" t="s">
        <v>53</v>
      </c>
      <c r="F334" s="2" t="s">
        <v>32</v>
      </c>
      <c r="G334" s="2" t="s">
        <v>81</v>
      </c>
      <c r="H334" s="2" t="s">
        <v>34</v>
      </c>
      <c r="I334" s="2">
        <v>3</v>
      </c>
      <c r="J334" s="5">
        <v>1899315</v>
      </c>
      <c r="K334" s="5">
        <v>15000</v>
      </c>
      <c r="L334" s="2" t="s">
        <v>35</v>
      </c>
      <c r="M334" s="2" t="s">
        <v>67</v>
      </c>
      <c r="N334" s="2" t="s">
        <v>37</v>
      </c>
    </row>
    <row r="335" spans="1:14" x14ac:dyDescent="0.25">
      <c r="A335" s="2" t="s">
        <v>711</v>
      </c>
      <c r="B335" s="2" t="s">
        <v>579</v>
      </c>
      <c r="C335" s="2" t="s">
        <v>30</v>
      </c>
      <c r="D335" s="4">
        <v>46161</v>
      </c>
      <c r="E335" s="2" t="s">
        <v>80</v>
      </c>
      <c r="F335" s="2" t="s">
        <v>42</v>
      </c>
      <c r="G335" s="2" t="s">
        <v>46</v>
      </c>
      <c r="H335" s="2" t="s">
        <v>34</v>
      </c>
      <c r="I335" s="2">
        <v>2</v>
      </c>
      <c r="J335" s="5">
        <v>566544</v>
      </c>
      <c r="K335" s="5">
        <v>0</v>
      </c>
      <c r="L335" s="2" t="s">
        <v>35</v>
      </c>
      <c r="M335" s="2" t="s">
        <v>36</v>
      </c>
      <c r="N335" s="2" t="s">
        <v>61</v>
      </c>
    </row>
    <row r="336" spans="1:14" x14ac:dyDescent="0.25">
      <c r="A336" s="2" t="s">
        <v>712</v>
      </c>
      <c r="B336" s="2" t="s">
        <v>480</v>
      </c>
      <c r="C336" s="2" t="s">
        <v>101</v>
      </c>
      <c r="D336" s="4">
        <v>46091</v>
      </c>
      <c r="E336" s="2" t="s">
        <v>41</v>
      </c>
      <c r="F336" s="2" t="s">
        <v>65</v>
      </c>
      <c r="G336" s="2" t="s">
        <v>81</v>
      </c>
      <c r="H336" s="2" t="s">
        <v>66</v>
      </c>
      <c r="I336" s="2">
        <v>5</v>
      </c>
      <c r="J336" s="5">
        <v>476680</v>
      </c>
      <c r="K336" s="5">
        <v>50000</v>
      </c>
      <c r="L336" s="2" t="s">
        <v>35</v>
      </c>
      <c r="M336" s="2" t="s">
        <v>49</v>
      </c>
      <c r="N336" s="2" t="s">
        <v>61</v>
      </c>
    </row>
    <row r="337" spans="1:14" x14ac:dyDescent="0.25">
      <c r="A337" s="2" t="s">
        <v>713</v>
      </c>
      <c r="B337" s="2" t="s">
        <v>218</v>
      </c>
      <c r="C337" s="2" t="s">
        <v>219</v>
      </c>
      <c r="D337" s="4">
        <v>46025</v>
      </c>
      <c r="E337" s="2" t="s">
        <v>41</v>
      </c>
      <c r="F337" s="2" t="s">
        <v>32</v>
      </c>
      <c r="G337" s="2" t="s">
        <v>714</v>
      </c>
      <c r="H337" s="2" t="s">
        <v>54</v>
      </c>
      <c r="I337" s="2">
        <v>4</v>
      </c>
      <c r="J337" s="5">
        <v>1615894</v>
      </c>
      <c r="K337" s="5">
        <v>25000</v>
      </c>
      <c r="L337" s="2" t="s">
        <v>35</v>
      </c>
      <c r="M337" s="2" t="s">
        <v>67</v>
      </c>
      <c r="N337" s="2" t="s">
        <v>37</v>
      </c>
    </row>
    <row r="338" spans="1:14" x14ac:dyDescent="0.25">
      <c r="A338" s="2" t="s">
        <v>715</v>
      </c>
      <c r="B338" s="2" t="s">
        <v>549</v>
      </c>
      <c r="C338" s="2" t="s">
        <v>198</v>
      </c>
      <c r="D338" s="4">
        <v>46151</v>
      </c>
      <c r="E338" s="2" t="s">
        <v>41</v>
      </c>
      <c r="F338" s="2" t="s">
        <v>59</v>
      </c>
      <c r="G338" s="2" t="s">
        <v>46</v>
      </c>
      <c r="H338" s="2" t="s">
        <v>54</v>
      </c>
      <c r="I338" s="2">
        <v>7</v>
      </c>
      <c r="J338" s="5">
        <v>543636</v>
      </c>
      <c r="K338" s="5">
        <v>50000</v>
      </c>
      <c r="L338" s="2" t="s">
        <v>35</v>
      </c>
      <c r="M338" s="2" t="s">
        <v>67</v>
      </c>
      <c r="N338" s="2" t="s">
        <v>37</v>
      </c>
    </row>
    <row r="339" spans="1:14" x14ac:dyDescent="0.25">
      <c r="A339" s="2" t="s">
        <v>716</v>
      </c>
      <c r="B339" s="2" t="s">
        <v>579</v>
      </c>
      <c r="C339" s="2" t="s">
        <v>30</v>
      </c>
      <c r="D339" s="4">
        <v>46061</v>
      </c>
      <c r="E339" s="2" t="s">
        <v>31</v>
      </c>
      <c r="F339" s="2" t="s">
        <v>42</v>
      </c>
      <c r="G339" s="2" t="s">
        <v>75</v>
      </c>
      <c r="H339" s="2" t="s">
        <v>34</v>
      </c>
      <c r="I339" s="2">
        <v>6</v>
      </c>
      <c r="J339" s="5">
        <v>2062408</v>
      </c>
      <c r="K339" s="5">
        <v>0</v>
      </c>
      <c r="L339" s="2" t="s">
        <v>35</v>
      </c>
      <c r="M339" s="2" t="s">
        <v>36</v>
      </c>
      <c r="N339" s="2" t="s">
        <v>37</v>
      </c>
    </row>
    <row r="340" spans="1:14" x14ac:dyDescent="0.25">
      <c r="A340" s="2" t="s">
        <v>717</v>
      </c>
      <c r="B340" s="2" t="s">
        <v>113</v>
      </c>
      <c r="C340" s="2" t="s">
        <v>114</v>
      </c>
      <c r="D340" s="4">
        <v>46056</v>
      </c>
      <c r="E340" s="2" t="s">
        <v>58</v>
      </c>
      <c r="F340" s="2" t="s">
        <v>59</v>
      </c>
      <c r="G340" s="2" t="s">
        <v>85</v>
      </c>
      <c r="H340" s="2" t="s">
        <v>34</v>
      </c>
      <c r="I340" s="2">
        <v>3</v>
      </c>
      <c r="J340" s="5">
        <v>1541955</v>
      </c>
      <c r="K340" s="5">
        <v>25000</v>
      </c>
      <c r="L340" s="2" t="s">
        <v>35</v>
      </c>
      <c r="M340" s="2" t="s">
        <v>49</v>
      </c>
      <c r="N340" s="2" t="s">
        <v>61</v>
      </c>
    </row>
    <row r="341" spans="1:14" x14ac:dyDescent="0.25">
      <c r="A341" s="2" t="s">
        <v>718</v>
      </c>
      <c r="B341" s="2" t="s">
        <v>638</v>
      </c>
      <c r="C341" s="2" t="s">
        <v>241</v>
      </c>
      <c r="D341" s="4">
        <v>46168</v>
      </c>
      <c r="E341" s="2" t="s">
        <v>80</v>
      </c>
      <c r="F341" s="2" t="s">
        <v>280</v>
      </c>
      <c r="G341" s="2" t="s">
        <v>60</v>
      </c>
      <c r="H341" s="2" t="s">
        <v>54</v>
      </c>
      <c r="I341" s="2">
        <v>7</v>
      </c>
      <c r="J341" s="5">
        <v>2206761</v>
      </c>
      <c r="K341" s="5">
        <v>0</v>
      </c>
      <c r="L341" s="2" t="s">
        <v>35</v>
      </c>
      <c r="M341" s="2" t="s">
        <v>36</v>
      </c>
      <c r="N341" s="2" t="s">
        <v>37</v>
      </c>
    </row>
    <row r="342" spans="1:14" x14ac:dyDescent="0.25">
      <c r="A342" s="2" t="s">
        <v>719</v>
      </c>
      <c r="B342" s="2" t="s">
        <v>259</v>
      </c>
      <c r="C342" s="2" t="s">
        <v>260</v>
      </c>
      <c r="D342" s="4">
        <v>46066</v>
      </c>
      <c r="E342" s="2" t="s">
        <v>58</v>
      </c>
      <c r="F342" s="2" t="s">
        <v>65</v>
      </c>
      <c r="G342" s="2" t="s">
        <v>85</v>
      </c>
      <c r="H342" s="2" t="s">
        <v>47</v>
      </c>
      <c r="I342" s="2">
        <v>1</v>
      </c>
      <c r="J342" s="5">
        <v>1359870</v>
      </c>
      <c r="K342" s="5">
        <v>15000</v>
      </c>
      <c r="L342" s="2" t="s">
        <v>35</v>
      </c>
      <c r="M342" s="2" t="s">
        <v>36</v>
      </c>
      <c r="N342" s="2" t="s">
        <v>37</v>
      </c>
    </row>
    <row r="343" spans="1:14" x14ac:dyDescent="0.25">
      <c r="A343" s="2" t="s">
        <v>720</v>
      </c>
      <c r="B343" s="2" t="s">
        <v>97</v>
      </c>
      <c r="C343" s="2" t="s">
        <v>98</v>
      </c>
      <c r="D343" s="4">
        <v>46088</v>
      </c>
      <c r="E343" s="2" t="s">
        <v>80</v>
      </c>
      <c r="F343" s="2" t="s">
        <v>59</v>
      </c>
      <c r="G343" s="2" t="s">
        <v>60</v>
      </c>
      <c r="H343" s="2" t="s">
        <v>76</v>
      </c>
      <c r="I343" s="2">
        <v>1</v>
      </c>
      <c r="J343" s="5">
        <v>1974072</v>
      </c>
      <c r="K343" s="5">
        <v>15000</v>
      </c>
      <c r="L343" s="2" t="s">
        <v>89</v>
      </c>
      <c r="M343" s="2" t="s">
        <v>71</v>
      </c>
      <c r="N343" s="2" t="s">
        <v>61</v>
      </c>
    </row>
    <row r="344" spans="1:14" x14ac:dyDescent="0.25">
      <c r="A344" s="2" t="s">
        <v>721</v>
      </c>
      <c r="B344" s="2" t="s">
        <v>641</v>
      </c>
      <c r="C344" s="2" t="s">
        <v>642</v>
      </c>
      <c r="D344" s="4">
        <v>46116</v>
      </c>
      <c r="E344" s="2" t="s">
        <v>53</v>
      </c>
      <c r="F344" s="2" t="s">
        <v>59</v>
      </c>
      <c r="G344" s="2" t="s">
        <v>33</v>
      </c>
      <c r="H344" s="2" t="s">
        <v>54</v>
      </c>
      <c r="I344" s="2">
        <v>3</v>
      </c>
      <c r="J344" s="5">
        <v>2269493</v>
      </c>
      <c r="K344" s="5">
        <v>50000</v>
      </c>
      <c r="L344" s="2" t="s">
        <v>35</v>
      </c>
      <c r="M344" s="2" t="s">
        <v>36</v>
      </c>
      <c r="N344" s="2" t="s">
        <v>61</v>
      </c>
    </row>
    <row r="345" spans="1:14" x14ac:dyDescent="0.25">
      <c r="A345" s="2" t="s">
        <v>722</v>
      </c>
      <c r="B345" s="2" t="s">
        <v>723</v>
      </c>
      <c r="C345" s="2" t="s">
        <v>724</v>
      </c>
      <c r="D345" s="4">
        <v>46085</v>
      </c>
      <c r="E345" s="2" t="s">
        <v>41</v>
      </c>
      <c r="F345" s="2" t="s">
        <v>65</v>
      </c>
      <c r="G345" s="2" t="s">
        <v>85</v>
      </c>
      <c r="H345" s="2" t="s">
        <v>47</v>
      </c>
      <c r="I345" s="2">
        <v>2</v>
      </c>
      <c r="J345" s="5">
        <v>2472167</v>
      </c>
      <c r="K345" s="5">
        <v>0</v>
      </c>
      <c r="L345" s="2" t="s">
        <v>48</v>
      </c>
      <c r="M345" s="2" t="s">
        <v>36</v>
      </c>
      <c r="N345" s="2" t="s">
        <v>37</v>
      </c>
    </row>
    <row r="346" spans="1:14" x14ac:dyDescent="0.25">
      <c r="A346" s="2" t="s">
        <v>725</v>
      </c>
      <c r="B346" s="2" t="s">
        <v>726</v>
      </c>
      <c r="C346" s="2" t="s">
        <v>727</v>
      </c>
      <c r="D346" s="4">
        <v>46046</v>
      </c>
      <c r="E346" s="2" t="s">
        <v>41</v>
      </c>
      <c r="F346" s="2" t="s">
        <v>65</v>
      </c>
      <c r="G346" s="2" t="s">
        <v>81</v>
      </c>
      <c r="H346" s="2" t="s">
        <v>34</v>
      </c>
      <c r="I346" s="2">
        <v>4</v>
      </c>
      <c r="J346" s="5">
        <v>1583551</v>
      </c>
      <c r="K346" s="5">
        <v>35000</v>
      </c>
      <c r="L346" s="2" t="s">
        <v>35</v>
      </c>
      <c r="M346" s="2" t="s">
        <v>162</v>
      </c>
      <c r="N346" s="2" t="s">
        <v>61</v>
      </c>
    </row>
    <row r="347" spans="1:14" x14ac:dyDescent="0.25">
      <c r="A347" s="2" t="s">
        <v>728</v>
      </c>
      <c r="B347" s="2" t="s">
        <v>688</v>
      </c>
      <c r="C347" s="2" t="s">
        <v>689</v>
      </c>
      <c r="D347" s="4">
        <v>46124</v>
      </c>
      <c r="E347" s="2" t="s">
        <v>53</v>
      </c>
      <c r="F347" s="2" t="s">
        <v>59</v>
      </c>
      <c r="G347" s="2" t="s">
        <v>85</v>
      </c>
      <c r="H347" s="2" t="s">
        <v>47</v>
      </c>
      <c r="I347" s="2">
        <v>4</v>
      </c>
      <c r="J347" s="5">
        <v>1936613</v>
      </c>
      <c r="K347" s="5">
        <v>15000</v>
      </c>
      <c r="L347" s="2" t="s">
        <v>35</v>
      </c>
      <c r="M347" s="2" t="s">
        <v>67</v>
      </c>
      <c r="N347" s="2" t="s">
        <v>61</v>
      </c>
    </row>
    <row r="348" spans="1:14" x14ac:dyDescent="0.25">
      <c r="A348" s="2" t="s">
        <v>729</v>
      </c>
      <c r="B348" s="2" t="s">
        <v>51</v>
      </c>
      <c r="C348" s="2" t="s">
        <v>52</v>
      </c>
      <c r="D348" s="4">
        <v>46139</v>
      </c>
      <c r="E348" s="2" t="s">
        <v>31</v>
      </c>
      <c r="F348" s="2" t="s">
        <v>32</v>
      </c>
      <c r="G348" s="2" t="s">
        <v>46</v>
      </c>
      <c r="H348" s="2" t="s">
        <v>54</v>
      </c>
      <c r="I348" s="2">
        <v>2</v>
      </c>
      <c r="J348" s="5">
        <v>280567</v>
      </c>
      <c r="K348" s="5">
        <v>50000</v>
      </c>
      <c r="L348" s="2" t="s">
        <v>245</v>
      </c>
      <c r="M348" s="2" t="s">
        <v>67</v>
      </c>
      <c r="N348" s="2" t="s">
        <v>37</v>
      </c>
    </row>
    <row r="349" spans="1:14" x14ac:dyDescent="0.25">
      <c r="A349" s="2" t="s">
        <v>730</v>
      </c>
      <c r="B349" s="2" t="s">
        <v>427</v>
      </c>
      <c r="C349" s="2" t="s">
        <v>731</v>
      </c>
      <c r="D349" s="4">
        <v>46115</v>
      </c>
      <c r="E349" s="2" t="s">
        <v>41</v>
      </c>
      <c r="F349" s="2" t="s">
        <v>32</v>
      </c>
      <c r="G349" s="2" t="s">
        <v>33</v>
      </c>
      <c r="H349" s="2" t="s">
        <v>34</v>
      </c>
      <c r="I349" s="2">
        <v>2</v>
      </c>
      <c r="J349" s="5">
        <v>1924010</v>
      </c>
      <c r="K349" s="5">
        <v>35000</v>
      </c>
      <c r="L349" s="2" t="s">
        <v>35</v>
      </c>
      <c r="M349" s="2" t="s">
        <v>71</v>
      </c>
      <c r="N349" s="2" t="s">
        <v>61</v>
      </c>
    </row>
    <row r="350" spans="1:14" x14ac:dyDescent="0.25">
      <c r="A350" s="2" t="s">
        <v>732</v>
      </c>
      <c r="B350" s="2" t="s">
        <v>135</v>
      </c>
      <c r="C350" s="2" t="s">
        <v>136</v>
      </c>
      <c r="D350" s="4">
        <v>46040</v>
      </c>
      <c r="E350" s="2" t="s">
        <v>41</v>
      </c>
      <c r="F350" s="2" t="s">
        <v>42</v>
      </c>
      <c r="G350" s="2" t="s">
        <v>75</v>
      </c>
      <c r="H350" s="2" t="s">
        <v>66</v>
      </c>
      <c r="I350" s="2">
        <v>1</v>
      </c>
      <c r="J350" s="5">
        <v>1268842</v>
      </c>
      <c r="K350" s="5">
        <v>35000</v>
      </c>
      <c r="L350" s="2" t="s">
        <v>35</v>
      </c>
      <c r="M350" s="2" t="s">
        <v>36</v>
      </c>
      <c r="N350" s="2" t="s">
        <v>61</v>
      </c>
    </row>
    <row r="351" spans="1:14" x14ac:dyDescent="0.25">
      <c r="A351" s="2" t="s">
        <v>733</v>
      </c>
      <c r="B351" s="2" t="s">
        <v>415</v>
      </c>
      <c r="C351" s="2" t="s">
        <v>141</v>
      </c>
      <c r="D351" s="4">
        <v>46036</v>
      </c>
      <c r="E351" s="2" t="s">
        <v>41</v>
      </c>
      <c r="F351" s="2" t="s">
        <v>59</v>
      </c>
      <c r="G351" s="2" t="s">
        <v>60</v>
      </c>
      <c r="H351" s="2" t="s">
        <v>76</v>
      </c>
      <c r="I351" s="2">
        <v>3</v>
      </c>
      <c r="J351" s="5">
        <v>507726</v>
      </c>
      <c r="K351" s="5">
        <v>35000</v>
      </c>
      <c r="L351" s="2" t="s">
        <v>734</v>
      </c>
      <c r="M351" s="2" t="s">
        <v>36</v>
      </c>
      <c r="N351" s="2" t="s">
        <v>61</v>
      </c>
    </row>
    <row r="352" spans="1:14" x14ac:dyDescent="0.25">
      <c r="A352" s="2" t="s">
        <v>735</v>
      </c>
      <c r="B352" s="2" t="s">
        <v>551</v>
      </c>
      <c r="C352" s="2" t="s">
        <v>84</v>
      </c>
      <c r="D352" s="4">
        <v>46134</v>
      </c>
      <c r="E352" s="2" t="s">
        <v>31</v>
      </c>
      <c r="F352" s="2" t="s">
        <v>65</v>
      </c>
      <c r="G352" s="2" t="s">
        <v>75</v>
      </c>
      <c r="H352" s="2" t="s">
        <v>76</v>
      </c>
      <c r="I352" s="2">
        <v>4</v>
      </c>
      <c r="J352" s="5">
        <v>1607687</v>
      </c>
      <c r="K352" s="5">
        <v>50000</v>
      </c>
      <c r="L352" s="2" t="s">
        <v>48</v>
      </c>
      <c r="M352" s="2" t="s">
        <v>49</v>
      </c>
      <c r="N352" s="2" t="s">
        <v>61</v>
      </c>
    </row>
    <row r="353" spans="1:14" x14ac:dyDescent="0.25">
      <c r="A353" s="2" t="s">
        <v>736</v>
      </c>
      <c r="B353" s="2" t="s">
        <v>737</v>
      </c>
      <c r="C353" s="2" t="s">
        <v>158</v>
      </c>
      <c r="D353" s="4">
        <v>46193</v>
      </c>
      <c r="E353" s="2" t="s">
        <v>80</v>
      </c>
      <c r="F353" s="2" t="s">
        <v>65</v>
      </c>
      <c r="G353" s="2" t="s">
        <v>75</v>
      </c>
      <c r="H353" s="2" t="s">
        <v>337</v>
      </c>
      <c r="I353" s="2">
        <v>2</v>
      </c>
      <c r="J353" s="5">
        <v>1447561</v>
      </c>
      <c r="K353" s="5">
        <v>0</v>
      </c>
      <c r="L353" s="2" t="s">
        <v>48</v>
      </c>
      <c r="M353" s="2" t="s">
        <v>71</v>
      </c>
      <c r="N353" s="2" t="s">
        <v>37</v>
      </c>
    </row>
    <row r="354" spans="1:14" x14ac:dyDescent="0.25">
      <c r="A354" s="2" t="s">
        <v>738</v>
      </c>
      <c r="B354" s="2" t="s">
        <v>262</v>
      </c>
      <c r="C354" s="2" t="s">
        <v>263</v>
      </c>
      <c r="D354" s="4">
        <v>46023</v>
      </c>
      <c r="E354" s="2" t="s">
        <v>58</v>
      </c>
      <c r="F354" s="2" t="s">
        <v>65</v>
      </c>
      <c r="G354" s="2" t="s">
        <v>85</v>
      </c>
      <c r="H354" s="2" t="s">
        <v>34</v>
      </c>
      <c r="I354" s="2">
        <v>6</v>
      </c>
      <c r="J354" s="5">
        <v>2009781</v>
      </c>
      <c r="K354" s="5">
        <v>15000</v>
      </c>
      <c r="L354" s="2" t="s">
        <v>35</v>
      </c>
      <c r="M354" s="2" t="s">
        <v>49</v>
      </c>
      <c r="N354" s="2" t="s">
        <v>37</v>
      </c>
    </row>
    <row r="355" spans="1:14" x14ac:dyDescent="0.25">
      <c r="A355" s="2" t="s">
        <v>739</v>
      </c>
      <c r="B355" s="2" t="s">
        <v>551</v>
      </c>
      <c r="C355" s="2" t="s">
        <v>84</v>
      </c>
      <c r="D355" s="2" t="s">
        <v>740</v>
      </c>
      <c r="E355" s="2" t="s">
        <v>31</v>
      </c>
      <c r="F355" s="2" t="s">
        <v>65</v>
      </c>
      <c r="G355" s="2" t="s">
        <v>33</v>
      </c>
      <c r="H355" s="2" t="s">
        <v>66</v>
      </c>
      <c r="I355" s="2">
        <v>4</v>
      </c>
      <c r="J355" s="5">
        <v>816678</v>
      </c>
      <c r="K355" s="5">
        <v>50000</v>
      </c>
      <c r="L355" s="2" t="s">
        <v>35</v>
      </c>
      <c r="M355" s="2" t="s">
        <v>67</v>
      </c>
      <c r="N355" s="2" t="s">
        <v>61</v>
      </c>
    </row>
    <row r="356" spans="1:14" x14ac:dyDescent="0.25">
      <c r="A356" s="2" t="s">
        <v>741</v>
      </c>
      <c r="B356" s="2" t="s">
        <v>298</v>
      </c>
      <c r="C356" s="2" t="s">
        <v>88</v>
      </c>
      <c r="D356" s="4">
        <v>46101</v>
      </c>
      <c r="E356" s="2" t="s">
        <v>41</v>
      </c>
      <c r="F356" s="2" t="s">
        <v>59</v>
      </c>
      <c r="G356" s="2" t="s">
        <v>33</v>
      </c>
      <c r="H356" s="2" t="s">
        <v>66</v>
      </c>
      <c r="I356" s="2">
        <v>6</v>
      </c>
      <c r="J356" s="5">
        <v>2225897</v>
      </c>
      <c r="K356" s="5">
        <v>0</v>
      </c>
      <c r="L356" s="2" t="s">
        <v>35</v>
      </c>
      <c r="M356" s="2" t="s">
        <v>49</v>
      </c>
      <c r="N356" s="2" t="s">
        <v>37</v>
      </c>
    </row>
    <row r="357" spans="1:14" x14ac:dyDescent="0.25">
      <c r="A357" s="2" t="s">
        <v>742</v>
      </c>
      <c r="B357" s="2" t="s">
        <v>262</v>
      </c>
      <c r="C357" s="2" t="s">
        <v>263</v>
      </c>
      <c r="D357" s="4">
        <v>46108</v>
      </c>
      <c r="E357" s="2" t="s">
        <v>53</v>
      </c>
      <c r="F357" s="2" t="s">
        <v>42</v>
      </c>
      <c r="G357" s="2" t="s">
        <v>46</v>
      </c>
      <c r="H357" s="2" t="s">
        <v>47</v>
      </c>
      <c r="I357" s="2">
        <v>4</v>
      </c>
      <c r="J357" s="5">
        <v>595550</v>
      </c>
      <c r="K357" s="5">
        <v>15000</v>
      </c>
      <c r="L357" s="2" t="s">
        <v>35</v>
      </c>
      <c r="M357" s="2"/>
      <c r="N357" s="2" t="s">
        <v>37</v>
      </c>
    </row>
    <row r="358" spans="1:14" x14ac:dyDescent="0.25">
      <c r="A358" s="2" t="s">
        <v>743</v>
      </c>
      <c r="B358" s="2" t="s">
        <v>302</v>
      </c>
      <c r="C358" s="2" t="s">
        <v>111</v>
      </c>
      <c r="D358" s="4">
        <v>46191</v>
      </c>
      <c r="E358" s="2" t="s">
        <v>58</v>
      </c>
      <c r="F358" s="2" t="s">
        <v>65</v>
      </c>
      <c r="G358" s="2" t="s">
        <v>81</v>
      </c>
      <c r="H358" s="2" t="s">
        <v>54</v>
      </c>
      <c r="I358" s="2">
        <v>6</v>
      </c>
      <c r="J358" s="5">
        <v>1954981</v>
      </c>
      <c r="K358" s="5">
        <v>25000</v>
      </c>
      <c r="L358" s="2" t="s">
        <v>35</v>
      </c>
      <c r="M358" s="2" t="s">
        <v>71</v>
      </c>
      <c r="N358" s="2" t="s">
        <v>61</v>
      </c>
    </row>
    <row r="359" spans="1:14" x14ac:dyDescent="0.25">
      <c r="A359" s="2" t="s">
        <v>744</v>
      </c>
      <c r="B359" s="2" t="s">
        <v>745</v>
      </c>
      <c r="C359" s="2" t="s">
        <v>158</v>
      </c>
      <c r="D359" s="4">
        <v>46128</v>
      </c>
      <c r="E359" s="2" t="s">
        <v>58</v>
      </c>
      <c r="F359" s="2" t="s">
        <v>59</v>
      </c>
      <c r="G359" s="2" t="s">
        <v>465</v>
      </c>
      <c r="H359" s="2" t="s">
        <v>76</v>
      </c>
      <c r="I359" s="2">
        <v>6</v>
      </c>
      <c r="J359" s="5">
        <v>554845</v>
      </c>
      <c r="K359" s="5">
        <v>35000</v>
      </c>
      <c r="L359" s="2" t="s">
        <v>35</v>
      </c>
      <c r="M359" s="2" t="s">
        <v>71</v>
      </c>
      <c r="N359" s="2" t="s">
        <v>61</v>
      </c>
    </row>
    <row r="360" spans="1:14" x14ac:dyDescent="0.25">
      <c r="A360" s="2" t="s">
        <v>746</v>
      </c>
      <c r="B360" s="2" t="s">
        <v>396</v>
      </c>
      <c r="C360" s="2" t="s">
        <v>241</v>
      </c>
      <c r="D360" s="4">
        <v>46097</v>
      </c>
      <c r="E360" s="2" t="s">
        <v>58</v>
      </c>
      <c r="F360" s="2" t="s">
        <v>42</v>
      </c>
      <c r="G360" s="2" t="s">
        <v>60</v>
      </c>
      <c r="H360" s="2" t="s">
        <v>54</v>
      </c>
      <c r="I360" s="2">
        <v>2</v>
      </c>
      <c r="J360" s="5">
        <v>1884295</v>
      </c>
      <c r="K360" s="5">
        <v>15000</v>
      </c>
      <c r="L360" s="2" t="s">
        <v>35</v>
      </c>
      <c r="M360" s="2" t="s">
        <v>36</v>
      </c>
      <c r="N360" s="2" t="s">
        <v>37</v>
      </c>
    </row>
    <row r="361" spans="1:14" x14ac:dyDescent="0.25">
      <c r="A361" s="2" t="s">
        <v>747</v>
      </c>
      <c r="B361" s="2" t="s">
        <v>461</v>
      </c>
      <c r="C361" s="2" t="s">
        <v>152</v>
      </c>
      <c r="D361" s="4">
        <v>46141</v>
      </c>
      <c r="E361" s="2" t="s">
        <v>53</v>
      </c>
      <c r="F361" s="2" t="s">
        <v>32</v>
      </c>
      <c r="G361" s="2" t="s">
        <v>33</v>
      </c>
      <c r="H361" s="2" t="s">
        <v>66</v>
      </c>
      <c r="I361" s="2">
        <v>1</v>
      </c>
      <c r="J361" s="5">
        <v>1851973</v>
      </c>
      <c r="K361" s="5">
        <v>35000</v>
      </c>
      <c r="L361" s="2" t="s">
        <v>245</v>
      </c>
      <c r="M361" s="2" t="s">
        <v>71</v>
      </c>
      <c r="N361" s="2" t="s">
        <v>37</v>
      </c>
    </row>
    <row r="362" spans="1:14" x14ac:dyDescent="0.25">
      <c r="A362" s="2" t="s">
        <v>748</v>
      </c>
      <c r="B362" s="2" t="s">
        <v>314</v>
      </c>
      <c r="C362" s="2" t="s">
        <v>84</v>
      </c>
      <c r="D362" s="4">
        <v>46129</v>
      </c>
      <c r="E362" s="2" t="s">
        <v>80</v>
      </c>
      <c r="F362" s="2" t="s">
        <v>32</v>
      </c>
      <c r="G362" s="2" t="s">
        <v>33</v>
      </c>
      <c r="H362" s="2" t="s">
        <v>34</v>
      </c>
      <c r="I362" s="2">
        <v>4</v>
      </c>
      <c r="J362" s="5">
        <v>1133152</v>
      </c>
      <c r="K362" s="5">
        <v>0</v>
      </c>
      <c r="L362" s="2" t="s">
        <v>35</v>
      </c>
      <c r="M362" s="2" t="s">
        <v>67</v>
      </c>
      <c r="N362" s="2" t="s">
        <v>37</v>
      </c>
    </row>
    <row r="363" spans="1:14" x14ac:dyDescent="0.25">
      <c r="A363" s="2" t="s">
        <v>749</v>
      </c>
      <c r="B363" s="2" t="s">
        <v>480</v>
      </c>
      <c r="C363" s="2" t="s">
        <v>101</v>
      </c>
      <c r="D363" s="4">
        <v>46165</v>
      </c>
      <c r="E363" s="2" t="s">
        <v>53</v>
      </c>
      <c r="F363" s="2" t="s">
        <v>214</v>
      </c>
      <c r="G363" s="2" t="s">
        <v>85</v>
      </c>
      <c r="H363" s="2" t="s">
        <v>47</v>
      </c>
      <c r="I363" s="2">
        <v>5</v>
      </c>
      <c r="J363" s="5">
        <v>1761492</v>
      </c>
      <c r="K363" s="5">
        <v>15000</v>
      </c>
      <c r="L363" s="2" t="s">
        <v>35</v>
      </c>
      <c r="M363" s="2" t="s">
        <v>71</v>
      </c>
      <c r="N363" s="2" t="s">
        <v>61</v>
      </c>
    </row>
    <row r="364" spans="1:14" x14ac:dyDescent="0.25">
      <c r="A364" s="2" t="s">
        <v>750</v>
      </c>
      <c r="B364" s="2" t="s">
        <v>751</v>
      </c>
      <c r="C364" s="2" t="s">
        <v>119</v>
      </c>
      <c r="D364" s="4">
        <v>46104</v>
      </c>
      <c r="E364" s="2" t="s">
        <v>31</v>
      </c>
      <c r="F364" s="2" t="s">
        <v>65</v>
      </c>
      <c r="G364" s="2" t="s">
        <v>75</v>
      </c>
      <c r="H364" s="2" t="s">
        <v>76</v>
      </c>
      <c r="I364" s="2">
        <v>4</v>
      </c>
      <c r="J364" s="5">
        <v>2289617</v>
      </c>
      <c r="K364" s="5">
        <v>15000</v>
      </c>
      <c r="L364" s="2" t="s">
        <v>35</v>
      </c>
      <c r="M364" s="2" t="s">
        <v>36</v>
      </c>
      <c r="N364" s="2" t="s">
        <v>37</v>
      </c>
    </row>
    <row r="365" spans="1:14" x14ac:dyDescent="0.25">
      <c r="A365" s="2" t="s">
        <v>752</v>
      </c>
      <c r="B365" s="2" t="s">
        <v>392</v>
      </c>
      <c r="C365" s="2" t="s">
        <v>393</v>
      </c>
      <c r="D365" s="4">
        <v>46183</v>
      </c>
      <c r="E365" s="2" t="s">
        <v>58</v>
      </c>
      <c r="F365" s="2" t="s">
        <v>65</v>
      </c>
      <c r="G365" s="2" t="s">
        <v>60</v>
      </c>
      <c r="H365" s="2" t="s">
        <v>54</v>
      </c>
      <c r="I365" s="2">
        <v>2</v>
      </c>
      <c r="J365" s="5">
        <v>1211484</v>
      </c>
      <c r="K365" s="5">
        <v>50000</v>
      </c>
      <c r="L365" s="2" t="s">
        <v>245</v>
      </c>
      <c r="M365" s="2" t="s">
        <v>67</v>
      </c>
      <c r="N365" s="2" t="s">
        <v>61</v>
      </c>
    </row>
    <row r="366" spans="1:14" x14ac:dyDescent="0.25">
      <c r="A366" s="2" t="s">
        <v>753</v>
      </c>
      <c r="B366" s="2" t="s">
        <v>292</v>
      </c>
      <c r="C366" s="2" t="s">
        <v>152</v>
      </c>
      <c r="D366" s="4">
        <v>46181</v>
      </c>
      <c r="E366" s="2" t="s">
        <v>31</v>
      </c>
      <c r="F366" s="2" t="s">
        <v>59</v>
      </c>
      <c r="G366" s="2" t="s">
        <v>75</v>
      </c>
      <c r="H366" s="2" t="s">
        <v>66</v>
      </c>
      <c r="I366" s="2">
        <v>5</v>
      </c>
      <c r="J366" s="5">
        <v>2400327</v>
      </c>
      <c r="K366" s="5">
        <v>0</v>
      </c>
      <c r="L366" s="2" t="s">
        <v>35</v>
      </c>
      <c r="M366" s="2" t="s">
        <v>36</v>
      </c>
      <c r="N366" s="2" t="s">
        <v>61</v>
      </c>
    </row>
    <row r="367" spans="1:14" x14ac:dyDescent="0.25">
      <c r="A367" s="2" t="s">
        <v>754</v>
      </c>
      <c r="B367" s="2" t="s">
        <v>480</v>
      </c>
      <c r="C367" s="2" t="s">
        <v>101</v>
      </c>
      <c r="D367" s="4">
        <v>46190</v>
      </c>
      <c r="E367" s="2" t="s">
        <v>205</v>
      </c>
      <c r="F367" s="2" t="s">
        <v>32</v>
      </c>
      <c r="G367" s="2" t="s">
        <v>75</v>
      </c>
      <c r="H367" s="2" t="s">
        <v>54</v>
      </c>
      <c r="I367" s="2">
        <v>2</v>
      </c>
      <c r="J367" s="5" t="s">
        <v>755</v>
      </c>
      <c r="K367" s="5">
        <v>25000</v>
      </c>
      <c r="L367" s="2" t="s">
        <v>35</v>
      </c>
      <c r="M367" s="2" t="s">
        <v>108</v>
      </c>
      <c r="N367" s="2" t="s">
        <v>37</v>
      </c>
    </row>
    <row r="368" spans="1:14" x14ac:dyDescent="0.25">
      <c r="A368" s="2" t="s">
        <v>756</v>
      </c>
      <c r="B368" s="2" t="s">
        <v>379</v>
      </c>
      <c r="C368" s="2" t="s">
        <v>158</v>
      </c>
      <c r="D368" s="4">
        <v>46059</v>
      </c>
      <c r="E368" s="2" t="s">
        <v>53</v>
      </c>
      <c r="F368" s="2" t="s">
        <v>65</v>
      </c>
      <c r="G368" s="2" t="s">
        <v>81</v>
      </c>
      <c r="H368" s="2" t="s">
        <v>34</v>
      </c>
      <c r="I368" s="2">
        <v>7</v>
      </c>
      <c r="J368" s="5">
        <v>217059</v>
      </c>
      <c r="K368" s="5">
        <v>50000</v>
      </c>
      <c r="L368" s="2" t="s">
        <v>35</v>
      </c>
      <c r="M368" s="2" t="s">
        <v>36</v>
      </c>
      <c r="N368" s="2" t="s">
        <v>37</v>
      </c>
    </row>
    <row r="369" spans="1:14" x14ac:dyDescent="0.25">
      <c r="A369" s="2" t="s">
        <v>757</v>
      </c>
      <c r="B369" s="2" t="s">
        <v>143</v>
      </c>
      <c r="C369" s="2" t="s">
        <v>144</v>
      </c>
      <c r="D369" s="4">
        <v>46069</v>
      </c>
      <c r="E369" s="2" t="s">
        <v>58</v>
      </c>
      <c r="F369" s="2" t="s">
        <v>59</v>
      </c>
      <c r="G369" s="2" t="s">
        <v>81</v>
      </c>
      <c r="H369" s="2" t="s">
        <v>47</v>
      </c>
      <c r="I369" s="2">
        <v>4</v>
      </c>
      <c r="J369" s="5">
        <v>509135</v>
      </c>
      <c r="K369" s="5">
        <v>0</v>
      </c>
      <c r="L369" s="2" t="s">
        <v>48</v>
      </c>
      <c r="M369" s="2" t="s">
        <v>36</v>
      </c>
      <c r="N369" s="2" t="s">
        <v>61</v>
      </c>
    </row>
    <row r="370" spans="1:14" x14ac:dyDescent="0.25">
      <c r="A370" s="2" t="s">
        <v>758</v>
      </c>
      <c r="B370" s="2" t="s">
        <v>759</v>
      </c>
      <c r="C370" s="2" t="s">
        <v>204</v>
      </c>
      <c r="D370" s="4">
        <v>46183</v>
      </c>
      <c r="E370" s="2" t="s">
        <v>41</v>
      </c>
      <c r="F370" s="2" t="s">
        <v>42</v>
      </c>
      <c r="G370" s="2" t="s">
        <v>85</v>
      </c>
      <c r="H370" s="2" t="s">
        <v>66</v>
      </c>
      <c r="I370" s="2">
        <v>6</v>
      </c>
      <c r="J370" s="5">
        <v>440078</v>
      </c>
      <c r="K370" s="5">
        <v>15000</v>
      </c>
      <c r="L370" s="2" t="s">
        <v>35</v>
      </c>
      <c r="M370" s="2" t="s">
        <v>71</v>
      </c>
      <c r="N370" s="2" t="s">
        <v>61</v>
      </c>
    </row>
    <row r="371" spans="1:14" x14ac:dyDescent="0.25">
      <c r="A371" s="2" t="s">
        <v>760</v>
      </c>
      <c r="B371" s="2" t="s">
        <v>761</v>
      </c>
      <c r="C371" s="2" t="s">
        <v>762</v>
      </c>
      <c r="D371" s="4">
        <v>46068</v>
      </c>
      <c r="E371" s="2" t="s">
        <v>80</v>
      </c>
      <c r="F371" s="2" t="s">
        <v>59</v>
      </c>
      <c r="G371" s="2" t="s">
        <v>46</v>
      </c>
      <c r="H371" s="2" t="s">
        <v>76</v>
      </c>
      <c r="I371" s="2">
        <v>7</v>
      </c>
      <c r="J371" s="5">
        <v>2499402</v>
      </c>
      <c r="K371" s="5">
        <v>50000</v>
      </c>
      <c r="L371" s="2" t="s">
        <v>35</v>
      </c>
      <c r="M371" s="2" t="s">
        <v>49</v>
      </c>
      <c r="N371" s="2" t="s">
        <v>61</v>
      </c>
    </row>
    <row r="372" spans="1:14" x14ac:dyDescent="0.25">
      <c r="A372" s="2" t="s">
        <v>763</v>
      </c>
      <c r="B372" s="2" t="s">
        <v>764</v>
      </c>
      <c r="C372" s="2" t="s">
        <v>370</v>
      </c>
      <c r="D372" s="4">
        <v>46156</v>
      </c>
      <c r="E372" s="2" t="s">
        <v>53</v>
      </c>
      <c r="F372" s="2" t="s">
        <v>42</v>
      </c>
      <c r="G372" s="2" t="s">
        <v>85</v>
      </c>
      <c r="H372" s="2" t="s">
        <v>66</v>
      </c>
      <c r="I372" s="2">
        <v>2</v>
      </c>
      <c r="J372" s="5">
        <v>1187454</v>
      </c>
      <c r="K372" s="5">
        <v>0</v>
      </c>
      <c r="L372" s="2" t="s">
        <v>123</v>
      </c>
      <c r="M372" s="2" t="s">
        <v>36</v>
      </c>
      <c r="N372" s="2" t="s">
        <v>61</v>
      </c>
    </row>
    <row r="373" spans="1:14" x14ac:dyDescent="0.25">
      <c r="A373" s="2" t="s">
        <v>765</v>
      </c>
      <c r="B373" s="2" t="s">
        <v>766</v>
      </c>
      <c r="C373" s="2" t="s">
        <v>152</v>
      </c>
      <c r="D373" s="4">
        <v>46078</v>
      </c>
      <c r="E373" s="2" t="s">
        <v>767</v>
      </c>
      <c r="F373" s="2" t="s">
        <v>32</v>
      </c>
      <c r="G373" s="2" t="s">
        <v>33</v>
      </c>
      <c r="H373" s="2" t="s">
        <v>47</v>
      </c>
      <c r="I373" s="2">
        <v>2</v>
      </c>
      <c r="J373" s="5">
        <v>243721</v>
      </c>
      <c r="K373" s="5">
        <v>25000</v>
      </c>
      <c r="L373" s="2" t="s">
        <v>35</v>
      </c>
      <c r="M373" s="2" t="s">
        <v>36</v>
      </c>
      <c r="N373" s="2" t="s">
        <v>61</v>
      </c>
    </row>
    <row r="374" spans="1:14" x14ac:dyDescent="0.25">
      <c r="A374" s="2" t="s">
        <v>768</v>
      </c>
      <c r="B374" s="2" t="s">
        <v>651</v>
      </c>
      <c r="C374" s="2" t="s">
        <v>70</v>
      </c>
      <c r="D374" s="4">
        <v>46112</v>
      </c>
      <c r="E374" s="2" t="s">
        <v>53</v>
      </c>
      <c r="F374" s="2" t="s">
        <v>59</v>
      </c>
      <c r="G374" s="2" t="s">
        <v>85</v>
      </c>
      <c r="H374" s="2" t="s">
        <v>639</v>
      </c>
      <c r="I374" s="2">
        <v>4</v>
      </c>
      <c r="J374" s="5">
        <v>2433146</v>
      </c>
      <c r="K374" s="5">
        <v>25000</v>
      </c>
      <c r="L374" s="2" t="s">
        <v>35</v>
      </c>
      <c r="M374" s="2" t="s">
        <v>36</v>
      </c>
      <c r="N374" s="2" t="s">
        <v>61</v>
      </c>
    </row>
    <row r="375" spans="1:14" x14ac:dyDescent="0.25">
      <c r="A375" s="2" t="s">
        <v>769</v>
      </c>
      <c r="B375" s="2" t="s">
        <v>770</v>
      </c>
      <c r="C375" s="2" t="s">
        <v>101</v>
      </c>
      <c r="D375" s="4">
        <v>46198</v>
      </c>
      <c r="E375" s="2" t="s">
        <v>80</v>
      </c>
      <c r="F375" s="2" t="s">
        <v>42</v>
      </c>
      <c r="G375" s="2" t="s">
        <v>85</v>
      </c>
      <c r="H375" s="2" t="s">
        <v>47</v>
      </c>
      <c r="I375" s="2">
        <v>1</v>
      </c>
      <c r="J375" s="5">
        <v>1298946</v>
      </c>
      <c r="K375" s="5">
        <v>35000</v>
      </c>
      <c r="L375" s="2" t="s">
        <v>35</v>
      </c>
      <c r="M375" s="2" t="s">
        <v>36</v>
      </c>
      <c r="N375" s="2" t="s">
        <v>37</v>
      </c>
    </row>
    <row r="376" spans="1:14" x14ac:dyDescent="0.25">
      <c r="A376" s="2" t="s">
        <v>771</v>
      </c>
      <c r="B376" s="2" t="s">
        <v>430</v>
      </c>
      <c r="C376" s="2" t="s">
        <v>45</v>
      </c>
      <c r="D376" s="4">
        <v>46137</v>
      </c>
      <c r="E376" s="2" t="s">
        <v>58</v>
      </c>
      <c r="F376" s="2" t="s">
        <v>59</v>
      </c>
      <c r="G376" s="2" t="s">
        <v>60</v>
      </c>
      <c r="H376" s="2" t="s">
        <v>34</v>
      </c>
      <c r="I376" s="2">
        <v>6</v>
      </c>
      <c r="J376" s="5">
        <v>1897283</v>
      </c>
      <c r="K376" s="5">
        <v>50000</v>
      </c>
      <c r="L376" s="2" t="s">
        <v>35</v>
      </c>
      <c r="M376" s="2" t="s">
        <v>67</v>
      </c>
      <c r="N376" s="2" t="s">
        <v>37</v>
      </c>
    </row>
    <row r="377" spans="1:14" x14ac:dyDescent="0.25">
      <c r="A377" s="2" t="s">
        <v>772</v>
      </c>
      <c r="B377" s="2" t="s">
        <v>149</v>
      </c>
      <c r="C377" s="2" t="s">
        <v>114</v>
      </c>
      <c r="D377" s="2" t="s">
        <v>773</v>
      </c>
      <c r="E377" s="2" t="s">
        <v>41</v>
      </c>
      <c r="F377" s="2" t="s">
        <v>32</v>
      </c>
      <c r="G377" s="2" t="s">
        <v>46</v>
      </c>
      <c r="H377" s="2" t="s">
        <v>76</v>
      </c>
      <c r="I377" s="2">
        <v>2</v>
      </c>
      <c r="J377" s="5">
        <v>389552</v>
      </c>
      <c r="K377" s="5">
        <v>35000</v>
      </c>
      <c r="L377" s="2" t="s">
        <v>48</v>
      </c>
      <c r="M377" s="2" t="s">
        <v>36</v>
      </c>
      <c r="N377" s="2" t="s">
        <v>37</v>
      </c>
    </row>
    <row r="378" spans="1:14" x14ac:dyDescent="0.25">
      <c r="A378" s="2" t="s">
        <v>774</v>
      </c>
      <c r="B378" s="2" t="s">
        <v>344</v>
      </c>
      <c r="C378" s="2" t="s">
        <v>119</v>
      </c>
      <c r="D378" s="4">
        <v>46030</v>
      </c>
      <c r="E378" s="2" t="s">
        <v>80</v>
      </c>
      <c r="F378" s="2" t="s">
        <v>42</v>
      </c>
      <c r="G378" s="2" t="s">
        <v>81</v>
      </c>
      <c r="H378" s="2" t="s">
        <v>34</v>
      </c>
      <c r="I378" s="2">
        <v>7</v>
      </c>
      <c r="J378" s="5">
        <v>600876</v>
      </c>
      <c r="K378" s="5">
        <v>15000</v>
      </c>
      <c r="L378" s="2" t="s">
        <v>35</v>
      </c>
      <c r="M378" s="2" t="s">
        <v>71</v>
      </c>
      <c r="N378" s="2" t="s">
        <v>37</v>
      </c>
    </row>
    <row r="379" spans="1:14" x14ac:dyDescent="0.25">
      <c r="A379" s="2" t="s">
        <v>775</v>
      </c>
      <c r="B379" s="2" t="s">
        <v>149</v>
      </c>
      <c r="C379" s="2" t="s">
        <v>114</v>
      </c>
      <c r="D379" s="4">
        <v>46060</v>
      </c>
      <c r="E379" s="2" t="s">
        <v>80</v>
      </c>
      <c r="F379" s="2" t="s">
        <v>42</v>
      </c>
      <c r="G379" s="2" t="s">
        <v>60</v>
      </c>
      <c r="H379" s="2" t="s">
        <v>76</v>
      </c>
      <c r="I379" s="2">
        <v>1</v>
      </c>
      <c r="J379" s="5">
        <v>1438911</v>
      </c>
      <c r="K379" s="5">
        <v>0</v>
      </c>
      <c r="L379" s="2" t="s">
        <v>35</v>
      </c>
      <c r="M379" s="2" t="s">
        <v>67</v>
      </c>
      <c r="N379" s="2" t="s">
        <v>37</v>
      </c>
    </row>
    <row r="380" spans="1:14" x14ac:dyDescent="0.25">
      <c r="A380" s="2" t="s">
        <v>776</v>
      </c>
      <c r="B380" s="2" t="s">
        <v>766</v>
      </c>
      <c r="C380" s="2" t="s">
        <v>152</v>
      </c>
      <c r="D380" s="4">
        <v>46082</v>
      </c>
      <c r="E380" s="2" t="s">
        <v>31</v>
      </c>
      <c r="F380" s="2" t="s">
        <v>65</v>
      </c>
      <c r="G380" s="2" t="s">
        <v>447</v>
      </c>
      <c r="H380" s="2" t="s">
        <v>66</v>
      </c>
      <c r="I380" s="2">
        <v>4</v>
      </c>
      <c r="J380" s="5">
        <v>2475691</v>
      </c>
      <c r="K380" s="5">
        <v>0</v>
      </c>
      <c r="L380" s="2" t="s">
        <v>35</v>
      </c>
      <c r="M380" s="2" t="s">
        <v>67</v>
      </c>
      <c r="N380" s="2" t="s">
        <v>61</v>
      </c>
    </row>
    <row r="381" spans="1:14" x14ac:dyDescent="0.25">
      <c r="A381" s="2" t="s">
        <v>777</v>
      </c>
      <c r="B381" s="2" t="s">
        <v>665</v>
      </c>
      <c r="C381" s="2" t="s">
        <v>442</v>
      </c>
      <c r="D381" s="4">
        <v>46188</v>
      </c>
      <c r="E381" s="2" t="s">
        <v>41</v>
      </c>
      <c r="F381" s="2" t="s">
        <v>59</v>
      </c>
      <c r="G381" s="2" t="s">
        <v>81</v>
      </c>
      <c r="H381" s="2" t="s">
        <v>66</v>
      </c>
      <c r="I381" s="2">
        <v>3</v>
      </c>
      <c r="J381" s="5">
        <v>1888948</v>
      </c>
      <c r="K381" s="5">
        <v>35000</v>
      </c>
      <c r="L381" s="2" t="s">
        <v>48</v>
      </c>
      <c r="M381" s="2" t="s">
        <v>67</v>
      </c>
      <c r="N381" s="2" t="s">
        <v>37</v>
      </c>
    </row>
    <row r="382" spans="1:14" x14ac:dyDescent="0.25">
      <c r="A382" s="2" t="s">
        <v>778</v>
      </c>
      <c r="B382" s="2" t="s">
        <v>146</v>
      </c>
      <c r="C382" s="2" t="s">
        <v>40</v>
      </c>
      <c r="D382" s="4">
        <v>46054</v>
      </c>
      <c r="E382" s="2" t="s">
        <v>53</v>
      </c>
      <c r="F382" s="2" t="s">
        <v>65</v>
      </c>
      <c r="G382" s="2" t="s">
        <v>33</v>
      </c>
      <c r="H382" s="2" t="s">
        <v>54</v>
      </c>
      <c r="I382" s="2">
        <v>5</v>
      </c>
      <c r="J382" s="5">
        <v>2019118</v>
      </c>
      <c r="K382" s="5">
        <v>15000</v>
      </c>
      <c r="L382" s="2" t="s">
        <v>35</v>
      </c>
      <c r="M382" s="2" t="s">
        <v>36</v>
      </c>
      <c r="N382" s="2" t="s">
        <v>61</v>
      </c>
    </row>
    <row r="383" spans="1:14" x14ac:dyDescent="0.25">
      <c r="A383" s="2" t="s">
        <v>779</v>
      </c>
      <c r="B383" s="2" t="s">
        <v>626</v>
      </c>
      <c r="C383" s="2" t="s">
        <v>204</v>
      </c>
      <c r="D383" s="4">
        <v>46141</v>
      </c>
      <c r="E383" s="2" t="s">
        <v>53</v>
      </c>
      <c r="F383" s="2" t="s">
        <v>65</v>
      </c>
      <c r="G383" s="2" t="s">
        <v>33</v>
      </c>
      <c r="H383" s="2" t="s">
        <v>54</v>
      </c>
      <c r="I383" s="2">
        <v>7</v>
      </c>
      <c r="J383" s="5">
        <v>1312716</v>
      </c>
      <c r="K383" s="5">
        <v>15000</v>
      </c>
      <c r="L383" s="2" t="s">
        <v>89</v>
      </c>
      <c r="M383" s="2" t="s">
        <v>71</v>
      </c>
      <c r="N383" s="2" t="s">
        <v>61</v>
      </c>
    </row>
    <row r="384" spans="1:14" x14ac:dyDescent="0.25">
      <c r="A384" s="2" t="s">
        <v>780</v>
      </c>
      <c r="B384" s="2" t="s">
        <v>172</v>
      </c>
      <c r="C384" s="2" t="s">
        <v>173</v>
      </c>
      <c r="D384" s="4">
        <v>46047</v>
      </c>
      <c r="E384" s="2" t="s">
        <v>58</v>
      </c>
      <c r="F384" s="2" t="s">
        <v>656</v>
      </c>
      <c r="G384" s="2" t="s">
        <v>60</v>
      </c>
      <c r="H384" s="2" t="s">
        <v>76</v>
      </c>
      <c r="I384" s="2">
        <v>3</v>
      </c>
      <c r="J384" s="5">
        <v>1860966</v>
      </c>
      <c r="K384" s="5">
        <v>25000</v>
      </c>
      <c r="L384" s="2" t="s">
        <v>35</v>
      </c>
      <c r="M384" s="2" t="s">
        <v>67</v>
      </c>
      <c r="N384" s="2" t="s">
        <v>61</v>
      </c>
    </row>
    <row r="385" spans="1:14" x14ac:dyDescent="0.25">
      <c r="A385" s="2" t="s">
        <v>781</v>
      </c>
      <c r="B385" s="2" t="s">
        <v>782</v>
      </c>
      <c r="C385" s="2" t="s">
        <v>165</v>
      </c>
      <c r="D385" s="4">
        <v>46099</v>
      </c>
      <c r="E385" s="2" t="s">
        <v>80</v>
      </c>
      <c r="F385" s="2" t="s">
        <v>65</v>
      </c>
      <c r="G385" s="2" t="s">
        <v>81</v>
      </c>
      <c r="H385" s="2" t="s">
        <v>34</v>
      </c>
      <c r="I385" s="2">
        <v>7</v>
      </c>
      <c r="J385" s="5">
        <v>2026654</v>
      </c>
      <c r="K385" s="5">
        <v>35000</v>
      </c>
      <c r="L385" s="2" t="s">
        <v>35</v>
      </c>
      <c r="M385" s="2" t="s">
        <v>71</v>
      </c>
      <c r="N385" s="2" t="s">
        <v>61</v>
      </c>
    </row>
    <row r="386" spans="1:14" x14ac:dyDescent="0.25">
      <c r="A386" s="2" t="s">
        <v>783</v>
      </c>
      <c r="B386" s="2" t="s">
        <v>784</v>
      </c>
      <c r="C386" s="2" t="s">
        <v>136</v>
      </c>
      <c r="D386" s="4">
        <v>46025</v>
      </c>
      <c r="E386" s="2" t="s">
        <v>58</v>
      </c>
      <c r="F386" s="2" t="s">
        <v>42</v>
      </c>
      <c r="G386" s="2" t="s">
        <v>75</v>
      </c>
      <c r="H386" s="2" t="s">
        <v>66</v>
      </c>
      <c r="I386" s="2">
        <v>3</v>
      </c>
      <c r="J386" s="5">
        <v>701894</v>
      </c>
      <c r="K386" s="5">
        <v>0</v>
      </c>
      <c r="L386" s="2" t="s">
        <v>48</v>
      </c>
      <c r="M386" s="2" t="s">
        <v>36</v>
      </c>
      <c r="N386" s="2" t="s">
        <v>61</v>
      </c>
    </row>
    <row r="387" spans="1:14" x14ac:dyDescent="0.25">
      <c r="A387" s="2" t="s">
        <v>785</v>
      </c>
      <c r="B387" s="2" t="s">
        <v>265</v>
      </c>
      <c r="C387" s="2" t="s">
        <v>266</v>
      </c>
      <c r="D387" s="4">
        <v>46199</v>
      </c>
      <c r="E387" s="2" t="s">
        <v>80</v>
      </c>
      <c r="F387" s="2" t="s">
        <v>65</v>
      </c>
      <c r="G387" s="2" t="s">
        <v>33</v>
      </c>
      <c r="H387" s="2" t="s">
        <v>66</v>
      </c>
      <c r="I387" s="2">
        <v>7</v>
      </c>
      <c r="J387" s="5">
        <v>340163</v>
      </c>
      <c r="K387" s="5">
        <v>25000</v>
      </c>
      <c r="L387" s="2" t="s">
        <v>35</v>
      </c>
      <c r="M387" s="2" t="s">
        <v>67</v>
      </c>
      <c r="N387" s="2" t="s">
        <v>37</v>
      </c>
    </row>
    <row r="388" spans="1:14" x14ac:dyDescent="0.25">
      <c r="A388" s="2" t="s">
        <v>786</v>
      </c>
      <c r="B388" s="2" t="s">
        <v>151</v>
      </c>
      <c r="C388" s="2" t="s">
        <v>152</v>
      </c>
      <c r="D388" s="4">
        <v>46201</v>
      </c>
      <c r="E388" s="2" t="s">
        <v>31</v>
      </c>
      <c r="F388" s="2" t="s">
        <v>59</v>
      </c>
      <c r="G388" s="2" t="s">
        <v>75</v>
      </c>
      <c r="H388" s="2" t="s">
        <v>47</v>
      </c>
      <c r="I388" s="2">
        <v>5</v>
      </c>
      <c r="J388" s="5">
        <v>834451</v>
      </c>
      <c r="K388" s="5">
        <v>15000</v>
      </c>
      <c r="L388" s="2" t="s">
        <v>35</v>
      </c>
      <c r="M388" s="2" t="s">
        <v>67</v>
      </c>
      <c r="N388" s="2" t="s">
        <v>61</v>
      </c>
    </row>
    <row r="389" spans="1:14" x14ac:dyDescent="0.25">
      <c r="A389" s="2" t="s">
        <v>787</v>
      </c>
      <c r="B389" s="2" t="s">
        <v>262</v>
      </c>
      <c r="C389" s="2" t="s">
        <v>263</v>
      </c>
      <c r="D389" s="4">
        <v>46158</v>
      </c>
      <c r="E389" s="2" t="s">
        <v>80</v>
      </c>
      <c r="F389" s="2" t="s">
        <v>59</v>
      </c>
      <c r="G389" s="2" t="s">
        <v>85</v>
      </c>
      <c r="H389" s="2" t="s">
        <v>54</v>
      </c>
      <c r="I389" s="2">
        <v>4</v>
      </c>
      <c r="J389" s="5">
        <v>1128828</v>
      </c>
      <c r="K389" s="5">
        <v>50000</v>
      </c>
      <c r="L389" s="2" t="s">
        <v>35</v>
      </c>
      <c r="M389" s="2" t="s">
        <v>49</v>
      </c>
      <c r="N389" s="2" t="s">
        <v>37</v>
      </c>
    </row>
    <row r="390" spans="1:14" x14ac:dyDescent="0.25">
      <c r="A390" s="2" t="s">
        <v>788</v>
      </c>
      <c r="B390" s="2" t="s">
        <v>789</v>
      </c>
      <c r="C390" s="2" t="s">
        <v>165</v>
      </c>
      <c r="D390" s="4">
        <v>46098</v>
      </c>
      <c r="E390" s="2" t="s">
        <v>31</v>
      </c>
      <c r="F390" s="2" t="s">
        <v>65</v>
      </c>
      <c r="G390" s="2" t="s">
        <v>81</v>
      </c>
      <c r="H390" s="2" t="s">
        <v>47</v>
      </c>
      <c r="I390" s="2">
        <v>5</v>
      </c>
      <c r="J390" s="5">
        <v>467264</v>
      </c>
      <c r="K390" s="5">
        <v>25000</v>
      </c>
      <c r="L390" s="2" t="s">
        <v>48</v>
      </c>
      <c r="M390" s="2" t="s">
        <v>71</v>
      </c>
      <c r="N390" s="2" t="s">
        <v>61</v>
      </c>
    </row>
    <row r="391" spans="1:14" x14ac:dyDescent="0.25">
      <c r="A391" s="2" t="s">
        <v>790</v>
      </c>
      <c r="B391" s="2" t="s">
        <v>791</v>
      </c>
      <c r="C391" s="2" t="s">
        <v>382</v>
      </c>
      <c r="D391" s="4">
        <v>46026</v>
      </c>
      <c r="E391" s="2" t="s">
        <v>80</v>
      </c>
      <c r="F391" s="2" t="s">
        <v>42</v>
      </c>
      <c r="G391" s="2" t="s">
        <v>46</v>
      </c>
      <c r="H391" s="2" t="s">
        <v>76</v>
      </c>
      <c r="I391" s="2">
        <v>7</v>
      </c>
      <c r="J391" s="5">
        <v>1026537</v>
      </c>
      <c r="K391" s="5">
        <v>35000</v>
      </c>
      <c r="L391" s="2" t="s">
        <v>35</v>
      </c>
      <c r="M391" s="2" t="s">
        <v>36</v>
      </c>
      <c r="N391" s="2" t="s">
        <v>37</v>
      </c>
    </row>
    <row r="392" spans="1:14" x14ac:dyDescent="0.25">
      <c r="A392" s="2" t="s">
        <v>792</v>
      </c>
      <c r="B392" s="2" t="s">
        <v>210</v>
      </c>
      <c r="C392" s="2" t="s">
        <v>793</v>
      </c>
      <c r="D392" s="4">
        <v>46102</v>
      </c>
      <c r="E392" s="2" t="s">
        <v>31</v>
      </c>
      <c r="F392" s="2" t="s">
        <v>32</v>
      </c>
      <c r="G392" s="2" t="s">
        <v>60</v>
      </c>
      <c r="H392" s="2" t="s">
        <v>47</v>
      </c>
      <c r="I392" s="2">
        <v>7</v>
      </c>
      <c r="J392" s="5">
        <v>2024306</v>
      </c>
      <c r="K392" s="5">
        <v>15000</v>
      </c>
      <c r="L392" s="2" t="s">
        <v>35</v>
      </c>
      <c r="M392" s="2" t="s">
        <v>71</v>
      </c>
      <c r="N392" s="2" t="s">
        <v>61</v>
      </c>
    </row>
    <row r="393" spans="1:14" x14ac:dyDescent="0.25">
      <c r="A393" s="2" t="s">
        <v>794</v>
      </c>
      <c r="B393" s="2" t="s">
        <v>795</v>
      </c>
      <c r="C393" s="2" t="s">
        <v>334</v>
      </c>
      <c r="D393" s="4">
        <v>46125</v>
      </c>
      <c r="E393" s="2" t="s">
        <v>53</v>
      </c>
      <c r="F393" s="2" t="s">
        <v>65</v>
      </c>
      <c r="G393" s="2" t="s">
        <v>85</v>
      </c>
      <c r="H393" s="2" t="s">
        <v>47</v>
      </c>
      <c r="I393" s="2"/>
      <c r="J393" s="5">
        <v>908334</v>
      </c>
      <c r="K393" s="5">
        <v>0</v>
      </c>
      <c r="L393" s="2" t="s">
        <v>35</v>
      </c>
      <c r="M393" s="2" t="s">
        <v>36</v>
      </c>
      <c r="N393" s="2" t="s">
        <v>61</v>
      </c>
    </row>
    <row r="394" spans="1:14" x14ac:dyDescent="0.25">
      <c r="A394" s="2" t="s">
        <v>796</v>
      </c>
      <c r="B394" s="2" t="s">
        <v>167</v>
      </c>
      <c r="C394" s="2" t="s">
        <v>84</v>
      </c>
      <c r="D394" s="4">
        <v>46051</v>
      </c>
      <c r="E394" s="2" t="s">
        <v>53</v>
      </c>
      <c r="F394" s="2" t="s">
        <v>59</v>
      </c>
      <c r="G394" s="2" t="s">
        <v>33</v>
      </c>
      <c r="H394" s="2" t="s">
        <v>66</v>
      </c>
      <c r="I394" s="2">
        <v>4</v>
      </c>
      <c r="J394" s="5">
        <v>1128992</v>
      </c>
      <c r="K394" s="5">
        <v>0</v>
      </c>
      <c r="L394" s="2" t="s">
        <v>35</v>
      </c>
      <c r="M394" s="2" t="s">
        <v>67</v>
      </c>
      <c r="N394" s="2" t="s">
        <v>61</v>
      </c>
    </row>
    <row r="395" spans="1:14" x14ac:dyDescent="0.25">
      <c r="A395" s="2" t="s">
        <v>797</v>
      </c>
      <c r="B395" s="2" t="s">
        <v>29</v>
      </c>
      <c r="C395" s="2" t="s">
        <v>30</v>
      </c>
      <c r="D395" s="4">
        <v>46163</v>
      </c>
      <c r="E395" s="2" t="s">
        <v>41</v>
      </c>
      <c r="F395" s="2" t="s">
        <v>32</v>
      </c>
      <c r="G395" s="2" t="s">
        <v>81</v>
      </c>
      <c r="H395" s="2" t="s">
        <v>47</v>
      </c>
      <c r="I395" s="2">
        <v>4</v>
      </c>
      <c r="J395" s="5">
        <v>472601</v>
      </c>
      <c r="K395" s="5">
        <v>25000</v>
      </c>
      <c r="L395" s="2" t="s">
        <v>35</v>
      </c>
      <c r="M395" s="2" t="s">
        <v>36</v>
      </c>
      <c r="N395" s="2" t="s">
        <v>37</v>
      </c>
    </row>
    <row r="396" spans="1:14" x14ac:dyDescent="0.25">
      <c r="A396" s="2" t="s">
        <v>798</v>
      </c>
      <c r="B396" s="2" t="s">
        <v>517</v>
      </c>
      <c r="C396" s="2" t="s">
        <v>470</v>
      </c>
      <c r="D396" s="4">
        <v>46048</v>
      </c>
      <c r="E396" s="2" t="s">
        <v>31</v>
      </c>
      <c r="F396" s="2" t="s">
        <v>59</v>
      </c>
      <c r="G396" s="2" t="s">
        <v>85</v>
      </c>
      <c r="H396" s="2" t="s">
        <v>76</v>
      </c>
      <c r="I396" s="2">
        <v>6</v>
      </c>
      <c r="J396" s="5">
        <v>326084</v>
      </c>
      <c r="K396" s="5">
        <v>35000</v>
      </c>
      <c r="L396" s="2" t="s">
        <v>245</v>
      </c>
      <c r="M396" s="2" t="s">
        <v>67</v>
      </c>
      <c r="N396" s="2" t="s">
        <v>37</v>
      </c>
    </row>
    <row r="397" spans="1:14" x14ac:dyDescent="0.25">
      <c r="A397" s="2" t="s">
        <v>799</v>
      </c>
      <c r="B397" s="2" t="s">
        <v>595</v>
      </c>
      <c r="C397" s="2" t="s">
        <v>107</v>
      </c>
      <c r="D397" s="4">
        <v>46178</v>
      </c>
      <c r="E397" s="2" t="s">
        <v>31</v>
      </c>
      <c r="F397" s="2" t="s">
        <v>65</v>
      </c>
      <c r="G397" s="2" t="s">
        <v>85</v>
      </c>
      <c r="H397" s="2" t="s">
        <v>54</v>
      </c>
      <c r="I397" s="2">
        <v>4</v>
      </c>
      <c r="J397" s="5">
        <v>2190376</v>
      </c>
      <c r="K397" s="5">
        <v>50000</v>
      </c>
      <c r="L397" s="2" t="s">
        <v>35</v>
      </c>
      <c r="M397" s="2" t="s">
        <v>67</v>
      </c>
      <c r="N397" s="2" t="s">
        <v>61</v>
      </c>
    </row>
    <row r="398" spans="1:14" x14ac:dyDescent="0.25">
      <c r="A398" s="2" t="s">
        <v>800</v>
      </c>
      <c r="B398" s="2" t="s">
        <v>103</v>
      </c>
      <c r="C398" s="2" t="s">
        <v>104</v>
      </c>
      <c r="D398" s="4">
        <v>46032</v>
      </c>
      <c r="E398" s="2" t="s">
        <v>53</v>
      </c>
      <c r="F398" s="2" t="s">
        <v>59</v>
      </c>
      <c r="G398" s="2" t="s">
        <v>60</v>
      </c>
      <c r="H398" s="2" t="s">
        <v>47</v>
      </c>
      <c r="I398" s="2">
        <v>1</v>
      </c>
      <c r="J398" s="5">
        <v>1236432</v>
      </c>
      <c r="K398" s="5">
        <v>15000</v>
      </c>
      <c r="L398" s="2" t="s">
        <v>35</v>
      </c>
      <c r="M398" s="2" t="s">
        <v>67</v>
      </c>
      <c r="N398" s="2" t="s">
        <v>61</v>
      </c>
    </row>
    <row r="399" spans="1:14" x14ac:dyDescent="0.25">
      <c r="A399" s="2" t="s">
        <v>801</v>
      </c>
      <c r="B399" s="2" t="s">
        <v>528</v>
      </c>
      <c r="C399" s="2" t="s">
        <v>170</v>
      </c>
      <c r="D399" s="4">
        <v>46200</v>
      </c>
      <c r="E399" s="2" t="s">
        <v>80</v>
      </c>
      <c r="F399" s="2" t="s">
        <v>32</v>
      </c>
      <c r="G399" s="2" t="s">
        <v>75</v>
      </c>
      <c r="H399" s="2" t="s">
        <v>54</v>
      </c>
      <c r="I399" s="2">
        <v>2</v>
      </c>
      <c r="J399" s="5">
        <v>1245193</v>
      </c>
      <c r="K399" s="5">
        <v>35000</v>
      </c>
      <c r="L399" s="2" t="s">
        <v>35</v>
      </c>
      <c r="M399" s="2" t="s">
        <v>67</v>
      </c>
      <c r="N399" s="2" t="s">
        <v>61</v>
      </c>
    </row>
    <row r="400" spans="1:14" x14ac:dyDescent="0.25">
      <c r="A400" s="2" t="s">
        <v>802</v>
      </c>
      <c r="B400" s="2" t="s">
        <v>175</v>
      </c>
      <c r="C400" s="2" t="s">
        <v>176</v>
      </c>
      <c r="D400" s="4">
        <v>46151</v>
      </c>
      <c r="E400" s="2" t="s">
        <v>80</v>
      </c>
      <c r="F400" s="2" t="s">
        <v>65</v>
      </c>
      <c r="G400" s="2" t="s">
        <v>85</v>
      </c>
      <c r="H400" s="2" t="s">
        <v>34</v>
      </c>
      <c r="I400" s="2">
        <v>7</v>
      </c>
      <c r="J400" s="5"/>
      <c r="K400" s="5">
        <v>25000</v>
      </c>
      <c r="L400" s="2" t="s">
        <v>245</v>
      </c>
      <c r="M400" s="2" t="s">
        <v>67</v>
      </c>
      <c r="N400" s="2" t="s">
        <v>37</v>
      </c>
    </row>
    <row r="401" spans="1:14" x14ac:dyDescent="0.25">
      <c r="A401" s="2" t="s">
        <v>803</v>
      </c>
      <c r="B401" s="2" t="s">
        <v>766</v>
      </c>
      <c r="C401" s="2" t="s">
        <v>152</v>
      </c>
      <c r="D401" s="4">
        <v>46139</v>
      </c>
      <c r="E401" s="2" t="s">
        <v>31</v>
      </c>
      <c r="F401" s="2" t="s">
        <v>32</v>
      </c>
      <c r="G401" s="2" t="s">
        <v>81</v>
      </c>
      <c r="H401" s="2" t="s">
        <v>34</v>
      </c>
      <c r="I401" s="2">
        <v>6</v>
      </c>
      <c r="J401" s="5">
        <v>714893</v>
      </c>
      <c r="K401" s="5">
        <v>0</v>
      </c>
      <c r="L401" s="2" t="s">
        <v>35</v>
      </c>
      <c r="M401" s="2" t="s">
        <v>67</v>
      </c>
      <c r="N401" s="2" t="s">
        <v>61</v>
      </c>
    </row>
    <row r="402" spans="1:14" x14ac:dyDescent="0.25">
      <c r="A402" s="2" t="s">
        <v>804</v>
      </c>
      <c r="B402" s="2" t="s">
        <v>647</v>
      </c>
      <c r="C402" s="2" t="s">
        <v>377</v>
      </c>
      <c r="D402" s="4">
        <v>46113</v>
      </c>
      <c r="E402" s="2" t="s">
        <v>58</v>
      </c>
      <c r="F402" s="2" t="s">
        <v>65</v>
      </c>
      <c r="G402" s="2" t="s">
        <v>81</v>
      </c>
      <c r="H402" s="2" t="s">
        <v>76</v>
      </c>
      <c r="I402" s="2">
        <v>1</v>
      </c>
      <c r="J402" s="5">
        <v>2107387</v>
      </c>
      <c r="K402" s="5">
        <v>50000</v>
      </c>
      <c r="L402" s="2" t="s">
        <v>35</v>
      </c>
      <c r="M402" s="2" t="s">
        <v>67</v>
      </c>
      <c r="N402" s="2" t="s">
        <v>37</v>
      </c>
    </row>
    <row r="403" spans="1:14" x14ac:dyDescent="0.25">
      <c r="A403" s="2" t="s">
        <v>805</v>
      </c>
      <c r="B403" s="2" t="s">
        <v>187</v>
      </c>
      <c r="C403" s="2" t="s">
        <v>88</v>
      </c>
      <c r="D403" s="4">
        <v>46081</v>
      </c>
      <c r="E403" s="2" t="s">
        <v>58</v>
      </c>
      <c r="F403" s="2" t="s">
        <v>32</v>
      </c>
      <c r="G403" s="2" t="s">
        <v>75</v>
      </c>
      <c r="H403" s="2" t="s">
        <v>66</v>
      </c>
      <c r="I403" s="2">
        <v>2</v>
      </c>
      <c r="J403" s="5">
        <v>2323138</v>
      </c>
      <c r="K403" s="5">
        <v>50000</v>
      </c>
      <c r="L403" s="2" t="s">
        <v>35</v>
      </c>
      <c r="M403" s="2" t="s">
        <v>71</v>
      </c>
      <c r="N403" s="2" t="s">
        <v>37</v>
      </c>
    </row>
    <row r="404" spans="1:14" x14ac:dyDescent="0.25">
      <c r="A404" s="2" t="s">
        <v>806</v>
      </c>
      <c r="B404" s="2" t="s">
        <v>807</v>
      </c>
      <c r="C404" s="2" t="s">
        <v>219</v>
      </c>
      <c r="D404" s="4">
        <v>46112</v>
      </c>
      <c r="E404" s="2" t="s">
        <v>58</v>
      </c>
      <c r="F404" s="2" t="s">
        <v>32</v>
      </c>
      <c r="G404" s="2" t="s">
        <v>33</v>
      </c>
      <c r="H404" s="2" t="s">
        <v>66</v>
      </c>
      <c r="I404" s="2">
        <v>6</v>
      </c>
      <c r="J404" s="5">
        <v>2408894</v>
      </c>
      <c r="K404" s="5">
        <v>25000</v>
      </c>
      <c r="L404" s="2" t="s">
        <v>35</v>
      </c>
      <c r="M404" s="2" t="s">
        <v>36</v>
      </c>
      <c r="N404" s="2" t="s">
        <v>37</v>
      </c>
    </row>
    <row r="405" spans="1:14" x14ac:dyDescent="0.25">
      <c r="A405" s="2" t="s">
        <v>808</v>
      </c>
      <c r="B405" s="2" t="s">
        <v>507</v>
      </c>
      <c r="C405" s="2" t="s">
        <v>70</v>
      </c>
      <c r="D405" s="4">
        <v>46092</v>
      </c>
      <c r="E405" s="2" t="s">
        <v>31</v>
      </c>
      <c r="F405" s="2" t="s">
        <v>32</v>
      </c>
      <c r="G405" s="2" t="s">
        <v>60</v>
      </c>
      <c r="H405" s="2" t="s">
        <v>54</v>
      </c>
      <c r="I405" s="2">
        <v>2</v>
      </c>
      <c r="J405" s="5">
        <v>2298139</v>
      </c>
      <c r="K405" s="5">
        <v>0</v>
      </c>
      <c r="L405" s="2" t="s">
        <v>89</v>
      </c>
      <c r="M405" s="2" t="s">
        <v>71</v>
      </c>
      <c r="N405" s="2" t="s">
        <v>61</v>
      </c>
    </row>
    <row r="406" spans="1:14" x14ac:dyDescent="0.25">
      <c r="A406" s="2" t="s">
        <v>809</v>
      </c>
      <c r="B406" s="2" t="s">
        <v>243</v>
      </c>
      <c r="C406" s="2" t="s">
        <v>244</v>
      </c>
      <c r="D406" s="4">
        <v>46201</v>
      </c>
      <c r="E406" s="2" t="s">
        <v>41</v>
      </c>
      <c r="F406" s="2" t="s">
        <v>65</v>
      </c>
      <c r="G406" s="2" t="s">
        <v>33</v>
      </c>
      <c r="H406" s="2" t="s">
        <v>76</v>
      </c>
      <c r="I406" s="2">
        <v>2</v>
      </c>
      <c r="J406" s="5">
        <v>1926572</v>
      </c>
      <c r="K406" s="5">
        <v>25000</v>
      </c>
      <c r="L406" s="2" t="s">
        <v>35</v>
      </c>
      <c r="M406" s="2" t="s">
        <v>67</v>
      </c>
      <c r="N406" s="2" t="s">
        <v>37</v>
      </c>
    </row>
    <row r="407" spans="1:14" x14ac:dyDescent="0.25">
      <c r="A407" s="2" t="s">
        <v>810</v>
      </c>
      <c r="B407" s="2" t="s">
        <v>811</v>
      </c>
      <c r="C407" s="2" t="s">
        <v>470</v>
      </c>
      <c r="D407" s="4">
        <v>46157</v>
      </c>
      <c r="E407" s="2" t="s">
        <v>53</v>
      </c>
      <c r="F407" s="2" t="s">
        <v>59</v>
      </c>
      <c r="G407" s="2" t="s">
        <v>33</v>
      </c>
      <c r="H407" s="2" t="s">
        <v>66</v>
      </c>
      <c r="I407" s="2">
        <v>6</v>
      </c>
      <c r="J407" s="5">
        <v>853802</v>
      </c>
      <c r="K407" s="5">
        <v>25000</v>
      </c>
      <c r="L407" s="2" t="s">
        <v>35</v>
      </c>
      <c r="M407" s="2" t="s">
        <v>443</v>
      </c>
      <c r="N407" s="2" t="s">
        <v>61</v>
      </c>
    </row>
    <row r="408" spans="1:14" x14ac:dyDescent="0.25">
      <c r="A408" s="2" t="s">
        <v>812</v>
      </c>
      <c r="B408" s="2" t="s">
        <v>327</v>
      </c>
      <c r="C408" s="2" t="s">
        <v>328</v>
      </c>
      <c r="D408" s="4">
        <v>46171</v>
      </c>
      <c r="E408" s="2" t="s">
        <v>41</v>
      </c>
      <c r="F408" s="2" t="s">
        <v>32</v>
      </c>
      <c r="G408" s="2" t="s">
        <v>33</v>
      </c>
      <c r="H408" s="2" t="s">
        <v>54</v>
      </c>
      <c r="I408" s="2">
        <v>7</v>
      </c>
      <c r="J408" s="5" t="s">
        <v>813</v>
      </c>
      <c r="K408" s="5">
        <v>25000</v>
      </c>
      <c r="L408" s="2" t="s">
        <v>35</v>
      </c>
      <c r="M408" s="2" t="s">
        <v>36</v>
      </c>
      <c r="N408" s="2" t="s">
        <v>61</v>
      </c>
    </row>
    <row r="409" spans="1:14" x14ac:dyDescent="0.25">
      <c r="A409" s="2" t="s">
        <v>814</v>
      </c>
      <c r="B409" s="2" t="s">
        <v>231</v>
      </c>
      <c r="C409" s="2" t="s">
        <v>198</v>
      </c>
      <c r="D409" s="4">
        <v>46198</v>
      </c>
      <c r="E409" s="2" t="s">
        <v>53</v>
      </c>
      <c r="F409" s="2" t="s">
        <v>42</v>
      </c>
      <c r="G409" s="2" t="s">
        <v>33</v>
      </c>
      <c r="H409" s="2" t="s">
        <v>47</v>
      </c>
      <c r="I409" s="2">
        <v>6</v>
      </c>
      <c r="J409" s="5">
        <v>737112</v>
      </c>
      <c r="K409" s="5">
        <v>35000</v>
      </c>
      <c r="L409" s="2" t="s">
        <v>35</v>
      </c>
      <c r="M409" s="2" t="s">
        <v>49</v>
      </c>
      <c r="N409" s="2" t="s">
        <v>37</v>
      </c>
    </row>
    <row r="410" spans="1:14" x14ac:dyDescent="0.25">
      <c r="A410" s="2" t="s">
        <v>815</v>
      </c>
      <c r="B410" s="2" t="s">
        <v>816</v>
      </c>
      <c r="C410" s="2" t="s">
        <v>158</v>
      </c>
      <c r="D410" s="4">
        <v>46098</v>
      </c>
      <c r="E410" s="2" t="s">
        <v>348</v>
      </c>
      <c r="F410" s="2" t="s">
        <v>65</v>
      </c>
      <c r="G410" s="2" t="s">
        <v>60</v>
      </c>
      <c r="H410" s="2" t="s">
        <v>66</v>
      </c>
      <c r="I410" s="2">
        <v>1</v>
      </c>
      <c r="J410" s="5">
        <v>185399</v>
      </c>
      <c r="K410" s="5">
        <v>35000</v>
      </c>
      <c r="L410" s="2" t="s">
        <v>35</v>
      </c>
      <c r="M410" s="2" t="s">
        <v>817</v>
      </c>
      <c r="N410" s="2" t="s">
        <v>61</v>
      </c>
    </row>
    <row r="411" spans="1:14" x14ac:dyDescent="0.25">
      <c r="A411" s="2" t="s">
        <v>818</v>
      </c>
      <c r="B411" s="2" t="s">
        <v>450</v>
      </c>
      <c r="C411" s="2" t="s">
        <v>219</v>
      </c>
      <c r="D411" s="4">
        <v>46113</v>
      </c>
      <c r="E411" s="2" t="s">
        <v>53</v>
      </c>
      <c r="F411" s="2" t="s">
        <v>42</v>
      </c>
      <c r="G411" s="2" t="s">
        <v>81</v>
      </c>
      <c r="H411" s="2" t="s">
        <v>66</v>
      </c>
      <c r="I411" s="2">
        <v>3</v>
      </c>
      <c r="J411" s="5">
        <v>122691</v>
      </c>
      <c r="K411" s="5">
        <v>0</v>
      </c>
      <c r="L411" s="2" t="s">
        <v>35</v>
      </c>
      <c r="M411" s="2" t="s">
        <v>71</v>
      </c>
      <c r="N411" s="2" t="s">
        <v>61</v>
      </c>
    </row>
    <row r="412" spans="1:14" x14ac:dyDescent="0.25">
      <c r="A412" s="2" t="s">
        <v>819</v>
      </c>
      <c r="B412" s="2" t="s">
        <v>820</v>
      </c>
      <c r="C412" s="2" t="s">
        <v>260</v>
      </c>
      <c r="D412" s="4">
        <v>46073</v>
      </c>
      <c r="E412" s="2" t="s">
        <v>80</v>
      </c>
      <c r="F412" s="2" t="s">
        <v>42</v>
      </c>
      <c r="G412" s="2" t="s">
        <v>75</v>
      </c>
      <c r="H412" s="2" t="s">
        <v>47</v>
      </c>
      <c r="I412" s="2">
        <v>1</v>
      </c>
      <c r="J412" s="5">
        <v>1932152</v>
      </c>
      <c r="K412" s="5">
        <v>50000</v>
      </c>
      <c r="L412" s="2" t="s">
        <v>177</v>
      </c>
      <c r="M412" s="2" t="s">
        <v>67</v>
      </c>
      <c r="N412" s="2" t="s">
        <v>37</v>
      </c>
    </row>
    <row r="413" spans="1:14" x14ac:dyDescent="0.25">
      <c r="A413" s="2" t="s">
        <v>821</v>
      </c>
      <c r="B413" s="2" t="s">
        <v>573</v>
      </c>
      <c r="C413" s="2" t="s">
        <v>195</v>
      </c>
      <c r="D413" s="4">
        <v>46048</v>
      </c>
      <c r="E413" s="2" t="s">
        <v>80</v>
      </c>
      <c r="F413" s="2" t="s">
        <v>42</v>
      </c>
      <c r="G413" s="2" t="s">
        <v>75</v>
      </c>
      <c r="H413" s="2" t="s">
        <v>34</v>
      </c>
      <c r="I413" s="2">
        <v>5</v>
      </c>
      <c r="J413" s="5">
        <v>1215807</v>
      </c>
      <c r="K413" s="5">
        <v>25000</v>
      </c>
      <c r="L413" s="2" t="s">
        <v>35</v>
      </c>
      <c r="M413" s="2" t="s">
        <v>36</v>
      </c>
      <c r="N413" s="2" t="s">
        <v>37</v>
      </c>
    </row>
    <row r="414" spans="1:14" x14ac:dyDescent="0.25">
      <c r="A414" s="2" t="s">
        <v>822</v>
      </c>
      <c r="B414" s="2" t="s">
        <v>256</v>
      </c>
      <c r="C414" s="2" t="s">
        <v>257</v>
      </c>
      <c r="D414" s="2" t="s">
        <v>823</v>
      </c>
      <c r="E414" s="2" t="s">
        <v>41</v>
      </c>
      <c r="F414" s="2" t="s">
        <v>42</v>
      </c>
      <c r="G414" s="2" t="s">
        <v>60</v>
      </c>
      <c r="H414" s="2" t="s">
        <v>337</v>
      </c>
      <c r="I414" s="2">
        <v>3</v>
      </c>
      <c r="J414" s="5">
        <v>2444834</v>
      </c>
      <c r="K414" s="5">
        <v>15000</v>
      </c>
      <c r="L414" s="2" t="s">
        <v>35</v>
      </c>
      <c r="M414" s="2" t="s">
        <v>67</v>
      </c>
      <c r="N414" s="2" t="s">
        <v>61</v>
      </c>
    </row>
    <row r="415" spans="1:14" x14ac:dyDescent="0.25">
      <c r="A415" s="2" t="s">
        <v>824</v>
      </c>
      <c r="B415" s="2" t="s">
        <v>376</v>
      </c>
      <c r="C415" s="2" t="s">
        <v>377</v>
      </c>
      <c r="D415" s="4">
        <v>46157</v>
      </c>
      <c r="E415" s="2" t="s">
        <v>41</v>
      </c>
      <c r="F415" s="2" t="s">
        <v>32</v>
      </c>
      <c r="G415" s="2" t="s">
        <v>60</v>
      </c>
      <c r="H415" s="2" t="s">
        <v>47</v>
      </c>
      <c r="I415" s="2">
        <v>5</v>
      </c>
      <c r="J415" s="5">
        <v>1973468</v>
      </c>
      <c r="K415" s="5">
        <v>25000</v>
      </c>
      <c r="L415" s="2" t="s">
        <v>825</v>
      </c>
      <c r="M415" s="2" t="s">
        <v>36</v>
      </c>
      <c r="N415" s="2" t="s">
        <v>37</v>
      </c>
    </row>
    <row r="416" spans="1:14" x14ac:dyDescent="0.25">
      <c r="A416" s="2" t="s">
        <v>826</v>
      </c>
      <c r="B416" s="2" t="s">
        <v>100</v>
      </c>
      <c r="C416" s="2" t="s">
        <v>101</v>
      </c>
      <c r="D416" s="2"/>
      <c r="E416" s="2" t="s">
        <v>53</v>
      </c>
      <c r="F416" s="2" t="s">
        <v>32</v>
      </c>
      <c r="G416" s="2" t="s">
        <v>85</v>
      </c>
      <c r="H416" s="2" t="s">
        <v>76</v>
      </c>
      <c r="I416" s="2">
        <v>1</v>
      </c>
      <c r="J416" s="5">
        <v>236068</v>
      </c>
      <c r="K416" s="5">
        <v>50000</v>
      </c>
      <c r="L416" s="2" t="s">
        <v>89</v>
      </c>
      <c r="M416" s="2" t="s">
        <v>49</v>
      </c>
      <c r="N416" s="2" t="s">
        <v>37</v>
      </c>
    </row>
    <row r="417" spans="1:14" x14ac:dyDescent="0.25">
      <c r="A417" s="2" t="s">
        <v>827</v>
      </c>
      <c r="B417" s="2" t="s">
        <v>39</v>
      </c>
      <c r="C417" s="2" t="s">
        <v>40</v>
      </c>
      <c r="D417" s="4">
        <v>46181</v>
      </c>
      <c r="E417" s="2" t="s">
        <v>31</v>
      </c>
      <c r="F417" s="2" t="s">
        <v>59</v>
      </c>
      <c r="G417" s="2" t="s">
        <v>75</v>
      </c>
      <c r="H417" s="2" t="s">
        <v>130</v>
      </c>
      <c r="I417" s="2">
        <v>3</v>
      </c>
      <c r="J417" s="5">
        <v>2398637</v>
      </c>
      <c r="K417" s="5">
        <v>50000</v>
      </c>
      <c r="L417" s="2" t="s">
        <v>35</v>
      </c>
      <c r="M417" s="2" t="s">
        <v>71</v>
      </c>
      <c r="N417" s="2" t="s">
        <v>37</v>
      </c>
    </row>
    <row r="418" spans="1:14" x14ac:dyDescent="0.25">
      <c r="A418" s="2" t="s">
        <v>828</v>
      </c>
      <c r="B418" s="2" t="s">
        <v>583</v>
      </c>
      <c r="C418" s="2" t="s">
        <v>377</v>
      </c>
      <c r="D418" s="4">
        <v>46155</v>
      </c>
      <c r="E418" s="2" t="s">
        <v>58</v>
      </c>
      <c r="F418" s="2" t="s">
        <v>32</v>
      </c>
      <c r="G418" s="2" t="s">
        <v>46</v>
      </c>
      <c r="H418" s="2" t="s">
        <v>54</v>
      </c>
      <c r="I418" s="2">
        <v>1</v>
      </c>
      <c r="J418" s="5">
        <v>2050305</v>
      </c>
      <c r="K418" s="5">
        <v>0</v>
      </c>
      <c r="L418" s="2" t="s">
        <v>35</v>
      </c>
      <c r="M418" s="2" t="s">
        <v>71</v>
      </c>
      <c r="N418" s="2" t="s">
        <v>37</v>
      </c>
    </row>
    <row r="419" spans="1:14" x14ac:dyDescent="0.25">
      <c r="A419" s="2" t="s">
        <v>829</v>
      </c>
      <c r="B419" s="2" t="s">
        <v>830</v>
      </c>
      <c r="C419" s="2" t="s">
        <v>224</v>
      </c>
      <c r="D419" s="4">
        <v>46146</v>
      </c>
      <c r="E419" s="2" t="s">
        <v>678</v>
      </c>
      <c r="F419" s="2" t="s">
        <v>42</v>
      </c>
      <c r="G419" s="2" t="s">
        <v>46</v>
      </c>
      <c r="H419" s="2" t="s">
        <v>34</v>
      </c>
      <c r="I419" s="2">
        <v>1</v>
      </c>
      <c r="J419" s="5">
        <v>1509604</v>
      </c>
      <c r="K419" s="5">
        <v>0</v>
      </c>
      <c r="L419" s="2" t="s">
        <v>35</v>
      </c>
      <c r="M419" s="2" t="s">
        <v>36</v>
      </c>
      <c r="N419" s="2" t="s">
        <v>37</v>
      </c>
    </row>
    <row r="420" spans="1:14" x14ac:dyDescent="0.25">
      <c r="A420" s="2" t="s">
        <v>831</v>
      </c>
      <c r="B420" s="2" t="s">
        <v>256</v>
      </c>
      <c r="C420" s="2" t="s">
        <v>257</v>
      </c>
      <c r="D420" s="4">
        <v>46080</v>
      </c>
      <c r="E420" s="2" t="s">
        <v>58</v>
      </c>
      <c r="F420" s="2" t="s">
        <v>59</v>
      </c>
      <c r="G420" s="2" t="s">
        <v>465</v>
      </c>
      <c r="H420" s="2" t="s">
        <v>34</v>
      </c>
      <c r="I420" s="2">
        <v>6</v>
      </c>
      <c r="J420" s="5">
        <v>769175</v>
      </c>
      <c r="K420" s="5">
        <v>25000</v>
      </c>
      <c r="L420" s="2" t="s">
        <v>35</v>
      </c>
      <c r="M420" s="2" t="s">
        <v>49</v>
      </c>
      <c r="N420" s="2" t="s">
        <v>61</v>
      </c>
    </row>
    <row r="421" spans="1:14" x14ac:dyDescent="0.25">
      <c r="A421" s="2" t="s">
        <v>832</v>
      </c>
      <c r="B421" s="2" t="s">
        <v>237</v>
      </c>
      <c r="C421" s="2" t="s">
        <v>238</v>
      </c>
      <c r="D421" s="4">
        <v>46023</v>
      </c>
      <c r="E421" s="2" t="s">
        <v>58</v>
      </c>
      <c r="F421" s="2" t="s">
        <v>59</v>
      </c>
      <c r="G421" s="2" t="s">
        <v>81</v>
      </c>
      <c r="H421" s="2" t="s">
        <v>76</v>
      </c>
      <c r="I421" s="2">
        <v>1</v>
      </c>
      <c r="J421" s="5">
        <v>761821</v>
      </c>
      <c r="K421" s="5">
        <v>50000</v>
      </c>
      <c r="L421" s="2" t="s">
        <v>35</v>
      </c>
      <c r="M421" s="2" t="s">
        <v>67</v>
      </c>
      <c r="N421" s="2" t="s">
        <v>37</v>
      </c>
    </row>
    <row r="422" spans="1:14" x14ac:dyDescent="0.25">
      <c r="A422" s="2" t="s">
        <v>833</v>
      </c>
      <c r="B422" s="2" t="s">
        <v>782</v>
      </c>
      <c r="C422" s="2" t="s">
        <v>165</v>
      </c>
      <c r="D422" s="4">
        <v>46037</v>
      </c>
      <c r="E422" s="2" t="s">
        <v>31</v>
      </c>
      <c r="F422" s="2" t="s">
        <v>32</v>
      </c>
      <c r="G422" s="2" t="s">
        <v>46</v>
      </c>
      <c r="H422" s="2" t="s">
        <v>47</v>
      </c>
      <c r="I422" s="2">
        <v>4</v>
      </c>
      <c r="J422" s="5">
        <v>630914</v>
      </c>
      <c r="K422" s="5">
        <v>25000</v>
      </c>
      <c r="L422" s="2" t="s">
        <v>35</v>
      </c>
      <c r="M422" s="2" t="s">
        <v>67</v>
      </c>
      <c r="N422" s="2" t="s">
        <v>61</v>
      </c>
    </row>
    <row r="423" spans="1:14" x14ac:dyDescent="0.25">
      <c r="A423" s="2" t="s">
        <v>834</v>
      </c>
      <c r="B423" s="2" t="s">
        <v>450</v>
      </c>
      <c r="C423" s="2" t="s">
        <v>219</v>
      </c>
      <c r="D423" s="4">
        <v>46060</v>
      </c>
      <c r="E423" s="2" t="s">
        <v>53</v>
      </c>
      <c r="F423" s="2" t="s">
        <v>42</v>
      </c>
      <c r="G423" s="2" t="s">
        <v>515</v>
      </c>
      <c r="H423" s="2" t="s">
        <v>47</v>
      </c>
      <c r="I423" s="2">
        <v>2</v>
      </c>
      <c r="J423" s="5">
        <v>210839</v>
      </c>
      <c r="K423" s="5">
        <v>15000</v>
      </c>
      <c r="L423" s="2" t="s">
        <v>48</v>
      </c>
      <c r="M423" s="2" t="s">
        <v>36</v>
      </c>
      <c r="N423" s="2" t="s">
        <v>37</v>
      </c>
    </row>
    <row r="424" spans="1:14" x14ac:dyDescent="0.25">
      <c r="A424" s="2" t="s">
        <v>835</v>
      </c>
      <c r="B424" s="2" t="s">
        <v>330</v>
      </c>
      <c r="C424" s="2" t="s">
        <v>98</v>
      </c>
      <c r="D424" s="2" t="s">
        <v>836</v>
      </c>
      <c r="E424" s="2" t="s">
        <v>41</v>
      </c>
      <c r="F424" s="2" t="s">
        <v>837</v>
      </c>
      <c r="G424" s="2" t="s">
        <v>60</v>
      </c>
      <c r="H424" s="2" t="s">
        <v>47</v>
      </c>
      <c r="I424" s="2">
        <v>4</v>
      </c>
      <c r="J424" s="5">
        <v>539512</v>
      </c>
      <c r="K424" s="5">
        <v>50000</v>
      </c>
      <c r="L424" s="2" t="s">
        <v>35</v>
      </c>
      <c r="M424" s="2" t="s">
        <v>67</v>
      </c>
      <c r="N424" s="2" t="s">
        <v>37</v>
      </c>
    </row>
    <row r="425" spans="1:14" x14ac:dyDescent="0.25">
      <c r="A425" s="2" t="s">
        <v>838</v>
      </c>
      <c r="B425" s="2" t="s">
        <v>128</v>
      </c>
      <c r="C425" s="2" t="s">
        <v>129</v>
      </c>
      <c r="D425" s="4">
        <v>46030</v>
      </c>
      <c r="E425" s="2" t="s">
        <v>80</v>
      </c>
      <c r="F425" s="2" t="s">
        <v>65</v>
      </c>
      <c r="G425" s="2" t="s">
        <v>75</v>
      </c>
      <c r="H425" s="2" t="s">
        <v>76</v>
      </c>
      <c r="I425" s="2">
        <v>1</v>
      </c>
      <c r="J425" s="5">
        <v>1308758</v>
      </c>
      <c r="K425" s="5">
        <v>35000</v>
      </c>
      <c r="L425" s="2" t="s">
        <v>35</v>
      </c>
      <c r="M425" s="2" t="s">
        <v>67</v>
      </c>
      <c r="N425" s="2" t="s">
        <v>37</v>
      </c>
    </row>
    <row r="426" spans="1:14" x14ac:dyDescent="0.25">
      <c r="A426" s="2" t="s">
        <v>839</v>
      </c>
      <c r="B426" s="2" t="s">
        <v>327</v>
      </c>
      <c r="C426" s="2" t="s">
        <v>328</v>
      </c>
      <c r="D426" s="4">
        <v>46113</v>
      </c>
      <c r="E426" s="2" t="s">
        <v>31</v>
      </c>
      <c r="F426" s="2" t="s">
        <v>32</v>
      </c>
      <c r="G426" s="2" t="s">
        <v>46</v>
      </c>
      <c r="H426" s="2" t="s">
        <v>76</v>
      </c>
      <c r="I426" s="2">
        <v>6</v>
      </c>
      <c r="J426" s="5">
        <v>704281</v>
      </c>
      <c r="K426" s="5">
        <v>35000</v>
      </c>
      <c r="L426" s="2" t="s">
        <v>35</v>
      </c>
      <c r="M426" s="2" t="s">
        <v>67</v>
      </c>
      <c r="N426" s="2" t="s">
        <v>61</v>
      </c>
    </row>
    <row r="427" spans="1:14" x14ac:dyDescent="0.25">
      <c r="A427" s="2" t="s">
        <v>840</v>
      </c>
      <c r="B427" s="2" t="s">
        <v>841</v>
      </c>
      <c r="C427" s="2" t="s">
        <v>84</v>
      </c>
      <c r="D427" s="4">
        <v>46203</v>
      </c>
      <c r="E427" s="2" t="s">
        <v>80</v>
      </c>
      <c r="F427" s="2" t="s">
        <v>656</v>
      </c>
      <c r="G427" s="2" t="s">
        <v>60</v>
      </c>
      <c r="H427" s="2" t="s">
        <v>34</v>
      </c>
      <c r="I427" s="2">
        <v>5</v>
      </c>
      <c r="J427" s="5">
        <v>2322243</v>
      </c>
      <c r="K427" s="5">
        <v>35000</v>
      </c>
      <c r="L427" s="2" t="s">
        <v>35</v>
      </c>
      <c r="M427" s="2" t="s">
        <v>36</v>
      </c>
      <c r="N427" s="2" t="s">
        <v>37</v>
      </c>
    </row>
    <row r="428" spans="1:14" x14ac:dyDescent="0.25">
      <c r="A428" s="2" t="s">
        <v>842</v>
      </c>
      <c r="B428" s="2" t="s">
        <v>366</v>
      </c>
      <c r="C428" s="2" t="s">
        <v>266</v>
      </c>
      <c r="D428" s="4">
        <v>46191</v>
      </c>
      <c r="E428" s="2" t="s">
        <v>41</v>
      </c>
      <c r="F428" s="2" t="s">
        <v>59</v>
      </c>
      <c r="G428" s="2" t="s">
        <v>46</v>
      </c>
      <c r="H428" s="2" t="s">
        <v>34</v>
      </c>
      <c r="I428" s="2">
        <v>1</v>
      </c>
      <c r="J428" s="5">
        <v>1390580</v>
      </c>
      <c r="K428" s="5">
        <v>35000</v>
      </c>
      <c r="L428" s="2" t="s">
        <v>245</v>
      </c>
      <c r="M428" s="2" t="s">
        <v>36</v>
      </c>
      <c r="N428" s="2" t="s">
        <v>37</v>
      </c>
    </row>
    <row r="429" spans="1:14" x14ac:dyDescent="0.25">
      <c r="A429" s="2" t="s">
        <v>843</v>
      </c>
      <c r="B429" s="2" t="s">
        <v>844</v>
      </c>
      <c r="C429" s="2" t="s">
        <v>382</v>
      </c>
      <c r="D429" s="4">
        <v>46201</v>
      </c>
      <c r="E429" s="2" t="s">
        <v>41</v>
      </c>
      <c r="F429" s="2" t="s">
        <v>65</v>
      </c>
      <c r="G429" s="2" t="s">
        <v>81</v>
      </c>
      <c r="H429" s="2" t="s">
        <v>54</v>
      </c>
      <c r="I429" s="2">
        <v>5</v>
      </c>
      <c r="J429" s="5">
        <v>1479275</v>
      </c>
      <c r="K429" s="5">
        <v>50000</v>
      </c>
      <c r="L429" s="2" t="s">
        <v>35</v>
      </c>
      <c r="M429" s="2" t="s">
        <v>36</v>
      </c>
      <c r="N429" s="2" t="s">
        <v>61</v>
      </c>
    </row>
    <row r="430" spans="1:14" x14ac:dyDescent="0.25">
      <c r="A430" s="2" t="s">
        <v>845</v>
      </c>
      <c r="B430" s="2" t="s">
        <v>505</v>
      </c>
      <c r="C430" s="2" t="s">
        <v>470</v>
      </c>
      <c r="D430" s="4">
        <v>46047</v>
      </c>
      <c r="E430" s="2" t="s">
        <v>31</v>
      </c>
      <c r="F430" s="2" t="s">
        <v>65</v>
      </c>
      <c r="G430" s="2" t="s">
        <v>85</v>
      </c>
      <c r="H430" s="2" t="s">
        <v>47</v>
      </c>
      <c r="I430" s="2">
        <v>6</v>
      </c>
      <c r="J430" s="5">
        <v>565520</v>
      </c>
      <c r="K430" s="5">
        <v>35000</v>
      </c>
      <c r="L430" s="2" t="s">
        <v>35</v>
      </c>
      <c r="M430" s="2" t="s">
        <v>36</v>
      </c>
      <c r="N430" s="2" t="s">
        <v>37</v>
      </c>
    </row>
    <row r="431" spans="1:14" x14ac:dyDescent="0.25">
      <c r="A431" s="2" t="s">
        <v>846</v>
      </c>
      <c r="B431" s="2" t="s">
        <v>847</v>
      </c>
      <c r="C431" s="2" t="s">
        <v>204</v>
      </c>
      <c r="D431" s="4">
        <v>46039</v>
      </c>
      <c r="E431" s="2" t="s">
        <v>58</v>
      </c>
      <c r="F431" s="2" t="s">
        <v>59</v>
      </c>
      <c r="G431" s="2" t="s">
        <v>33</v>
      </c>
      <c r="H431" s="2" t="s">
        <v>76</v>
      </c>
      <c r="I431" s="2">
        <v>3</v>
      </c>
      <c r="J431" s="5">
        <v>379739</v>
      </c>
      <c r="K431" s="5">
        <v>50000</v>
      </c>
      <c r="L431" s="2" t="s">
        <v>35</v>
      </c>
      <c r="M431" s="2" t="s">
        <v>71</v>
      </c>
      <c r="N431" s="2" t="s">
        <v>61</v>
      </c>
    </row>
    <row r="432" spans="1:14" x14ac:dyDescent="0.25">
      <c r="A432" s="2" t="s">
        <v>848</v>
      </c>
      <c r="B432" s="2" t="s">
        <v>847</v>
      </c>
      <c r="C432" s="2" t="s">
        <v>849</v>
      </c>
      <c r="D432" s="4">
        <v>46067</v>
      </c>
      <c r="E432" s="2" t="s">
        <v>53</v>
      </c>
      <c r="F432" s="2" t="s">
        <v>42</v>
      </c>
      <c r="G432" s="2" t="s">
        <v>85</v>
      </c>
      <c r="H432" s="2" t="s">
        <v>66</v>
      </c>
      <c r="I432" s="2">
        <v>6</v>
      </c>
      <c r="J432" s="5">
        <v>1467039</v>
      </c>
      <c r="K432" s="5">
        <v>0</v>
      </c>
      <c r="L432" s="2" t="s">
        <v>35</v>
      </c>
      <c r="M432" s="2" t="s">
        <v>67</v>
      </c>
      <c r="N432" s="2" t="s">
        <v>37</v>
      </c>
    </row>
    <row r="433" spans="1:14" x14ac:dyDescent="0.25">
      <c r="A433" s="2" t="s">
        <v>850</v>
      </c>
      <c r="B433" s="2" t="s">
        <v>641</v>
      </c>
      <c r="C433" s="2" t="s">
        <v>642</v>
      </c>
      <c r="D433" s="4">
        <v>46196</v>
      </c>
      <c r="E433" s="2" t="s">
        <v>53</v>
      </c>
      <c r="F433" s="2" t="s">
        <v>42</v>
      </c>
      <c r="G433" s="2" t="s">
        <v>81</v>
      </c>
      <c r="H433" s="2" t="s">
        <v>76</v>
      </c>
      <c r="I433" s="2">
        <v>2</v>
      </c>
      <c r="J433" s="5">
        <v>1319945</v>
      </c>
      <c r="K433" s="5">
        <v>15000</v>
      </c>
      <c r="L433" s="2" t="s">
        <v>35</v>
      </c>
      <c r="M433" s="2" t="s">
        <v>36</v>
      </c>
      <c r="N433" s="2" t="s">
        <v>61</v>
      </c>
    </row>
    <row r="434" spans="1:14" x14ac:dyDescent="0.25">
      <c r="A434" s="2" t="s">
        <v>851</v>
      </c>
      <c r="B434" s="2" t="s">
        <v>369</v>
      </c>
      <c r="C434" s="2" t="s">
        <v>370</v>
      </c>
      <c r="D434" s="4">
        <v>46194</v>
      </c>
      <c r="E434" s="2" t="s">
        <v>41</v>
      </c>
      <c r="F434" s="2" t="s">
        <v>65</v>
      </c>
      <c r="G434" s="2" t="s">
        <v>33</v>
      </c>
      <c r="H434" s="2" t="s">
        <v>34</v>
      </c>
      <c r="I434" s="2">
        <v>1</v>
      </c>
      <c r="J434" s="5">
        <v>523517</v>
      </c>
      <c r="K434" s="5">
        <v>15000</v>
      </c>
      <c r="L434" s="2" t="s">
        <v>48</v>
      </c>
      <c r="M434" s="2" t="s">
        <v>71</v>
      </c>
      <c r="N434" s="2" t="s">
        <v>37</v>
      </c>
    </row>
    <row r="435" spans="1:14" x14ac:dyDescent="0.25">
      <c r="A435" s="2" t="s">
        <v>852</v>
      </c>
      <c r="B435" s="2" t="s">
        <v>305</v>
      </c>
      <c r="C435" s="2" t="s">
        <v>853</v>
      </c>
      <c r="D435" s="4">
        <v>46076</v>
      </c>
      <c r="E435" s="2" t="s">
        <v>31</v>
      </c>
      <c r="F435" s="2" t="s">
        <v>65</v>
      </c>
      <c r="G435" s="2" t="s">
        <v>60</v>
      </c>
      <c r="H435" s="2" t="s">
        <v>47</v>
      </c>
      <c r="I435" s="2">
        <v>3</v>
      </c>
      <c r="J435" s="5">
        <v>2106979</v>
      </c>
      <c r="K435" s="5">
        <v>50000</v>
      </c>
      <c r="L435" s="2" t="s">
        <v>35</v>
      </c>
      <c r="M435" s="2" t="s">
        <v>71</v>
      </c>
      <c r="N435" s="2" t="s">
        <v>37</v>
      </c>
    </row>
    <row r="436" spans="1:14" x14ac:dyDescent="0.25">
      <c r="A436" s="2" t="s">
        <v>854</v>
      </c>
      <c r="B436" s="2" t="s">
        <v>283</v>
      </c>
      <c r="C436" s="2" t="s">
        <v>284</v>
      </c>
      <c r="D436" s="4">
        <v>46041</v>
      </c>
      <c r="E436" s="2" t="s">
        <v>41</v>
      </c>
      <c r="F436" s="2" t="s">
        <v>42</v>
      </c>
      <c r="G436" s="2" t="s">
        <v>81</v>
      </c>
      <c r="H436" s="2" t="s">
        <v>76</v>
      </c>
      <c r="I436" s="2">
        <v>7</v>
      </c>
      <c r="J436" s="5">
        <v>447758</v>
      </c>
      <c r="K436" s="5">
        <v>15000</v>
      </c>
      <c r="L436" s="2" t="s">
        <v>35</v>
      </c>
      <c r="M436" s="2" t="s">
        <v>67</v>
      </c>
      <c r="N436" s="2" t="s">
        <v>37</v>
      </c>
    </row>
    <row r="437" spans="1:14" x14ac:dyDescent="0.25">
      <c r="A437" s="2" t="s">
        <v>855</v>
      </c>
      <c r="B437" s="2" t="s">
        <v>681</v>
      </c>
      <c r="C437" s="2" t="s">
        <v>57</v>
      </c>
      <c r="D437" s="4">
        <v>46080</v>
      </c>
      <c r="E437" s="2" t="s">
        <v>31</v>
      </c>
      <c r="F437" s="2" t="s">
        <v>32</v>
      </c>
      <c r="G437" s="2" t="s">
        <v>81</v>
      </c>
      <c r="H437" s="2" t="s">
        <v>76</v>
      </c>
      <c r="I437" s="2">
        <v>4</v>
      </c>
      <c r="J437" s="5">
        <v>1335913</v>
      </c>
      <c r="K437" s="5">
        <v>25000</v>
      </c>
      <c r="L437" s="2" t="s">
        <v>35</v>
      </c>
      <c r="M437" s="2" t="s">
        <v>67</v>
      </c>
      <c r="N437" s="2" t="s">
        <v>61</v>
      </c>
    </row>
    <row r="438" spans="1:14" x14ac:dyDescent="0.25">
      <c r="A438" s="2" t="s">
        <v>856</v>
      </c>
      <c r="B438" s="2" t="s">
        <v>321</v>
      </c>
      <c r="C438" s="2" t="s">
        <v>92</v>
      </c>
      <c r="D438" s="4">
        <v>46155</v>
      </c>
      <c r="E438" s="2" t="s">
        <v>58</v>
      </c>
      <c r="F438" s="2" t="s">
        <v>59</v>
      </c>
      <c r="G438" s="2" t="s">
        <v>33</v>
      </c>
      <c r="H438" s="2" t="s">
        <v>54</v>
      </c>
      <c r="I438" s="2">
        <v>4</v>
      </c>
      <c r="J438" s="5">
        <v>2217349</v>
      </c>
      <c r="K438" s="5">
        <v>25000</v>
      </c>
      <c r="L438" s="2" t="s">
        <v>35</v>
      </c>
      <c r="M438" s="2" t="s">
        <v>36</v>
      </c>
      <c r="N438" s="2" t="s">
        <v>61</v>
      </c>
    </row>
    <row r="439" spans="1:14" x14ac:dyDescent="0.25">
      <c r="A439" s="2" t="s">
        <v>857</v>
      </c>
      <c r="B439" s="2" t="s">
        <v>858</v>
      </c>
      <c r="C439" s="2" t="s">
        <v>64</v>
      </c>
      <c r="D439" s="4">
        <v>46130</v>
      </c>
      <c r="E439" s="2" t="s">
        <v>80</v>
      </c>
      <c r="F439" s="2" t="s">
        <v>65</v>
      </c>
      <c r="G439" s="2" t="s">
        <v>85</v>
      </c>
      <c r="H439" s="2" t="s">
        <v>47</v>
      </c>
      <c r="I439" s="2">
        <v>3</v>
      </c>
      <c r="J439" s="5">
        <v>1214214</v>
      </c>
      <c r="K439" s="5">
        <v>15000</v>
      </c>
      <c r="L439" s="2" t="s">
        <v>48</v>
      </c>
      <c r="M439" s="2" t="s">
        <v>36</v>
      </c>
      <c r="N439" s="2" t="s">
        <v>61</v>
      </c>
    </row>
    <row r="440" spans="1:14" x14ac:dyDescent="0.25">
      <c r="A440" s="2" t="s">
        <v>859</v>
      </c>
      <c r="B440" s="2" t="s">
        <v>583</v>
      </c>
      <c r="C440" s="2" t="s">
        <v>377</v>
      </c>
      <c r="D440" s="4">
        <v>46167</v>
      </c>
      <c r="E440" s="2" t="s">
        <v>53</v>
      </c>
      <c r="F440" s="2" t="s">
        <v>65</v>
      </c>
      <c r="G440" s="2" t="s">
        <v>46</v>
      </c>
      <c r="H440" s="2" t="s">
        <v>47</v>
      </c>
      <c r="I440" s="2">
        <v>1</v>
      </c>
      <c r="J440" s="5">
        <v>268319</v>
      </c>
      <c r="K440" s="5">
        <v>25000</v>
      </c>
      <c r="L440" s="2" t="s">
        <v>245</v>
      </c>
      <c r="M440" s="2" t="s">
        <v>36</v>
      </c>
      <c r="N440" s="2" t="s">
        <v>61</v>
      </c>
    </row>
    <row r="441" spans="1:14" x14ac:dyDescent="0.25">
      <c r="A441" s="2" t="s">
        <v>860</v>
      </c>
      <c r="B441" s="2" t="s">
        <v>151</v>
      </c>
      <c r="C441" s="2" t="s">
        <v>152</v>
      </c>
      <c r="D441" s="4">
        <v>46033</v>
      </c>
      <c r="E441" s="2" t="s">
        <v>41</v>
      </c>
      <c r="F441" s="2" t="s">
        <v>59</v>
      </c>
      <c r="G441" s="2" t="s">
        <v>33</v>
      </c>
      <c r="H441" s="2" t="s">
        <v>34</v>
      </c>
      <c r="I441" s="2">
        <v>4</v>
      </c>
      <c r="J441" s="5">
        <v>556464</v>
      </c>
      <c r="K441" s="5">
        <v>0</v>
      </c>
      <c r="L441" s="2" t="s">
        <v>35</v>
      </c>
      <c r="M441" s="2" t="s">
        <v>36</v>
      </c>
      <c r="N441" s="2" t="s">
        <v>61</v>
      </c>
    </row>
    <row r="442" spans="1:14" x14ac:dyDescent="0.25">
      <c r="A442" s="2" t="s">
        <v>861</v>
      </c>
      <c r="B442" s="2" t="s">
        <v>565</v>
      </c>
      <c r="C442" s="2" t="s">
        <v>114</v>
      </c>
      <c r="D442" s="4">
        <v>46037</v>
      </c>
      <c r="E442" s="2" t="s">
        <v>58</v>
      </c>
      <c r="F442" s="2" t="s">
        <v>59</v>
      </c>
      <c r="G442" s="2" t="s">
        <v>81</v>
      </c>
      <c r="H442" s="2" t="s">
        <v>47</v>
      </c>
      <c r="I442" s="2">
        <v>5</v>
      </c>
      <c r="J442" s="5">
        <v>230535</v>
      </c>
      <c r="K442" s="5">
        <v>15000</v>
      </c>
      <c r="L442" s="2" t="s">
        <v>35</v>
      </c>
      <c r="M442" s="2" t="s">
        <v>36</v>
      </c>
      <c r="N442" s="2" t="s">
        <v>37</v>
      </c>
    </row>
    <row r="443" spans="1:14" x14ac:dyDescent="0.25">
      <c r="A443" s="2" t="s">
        <v>862</v>
      </c>
      <c r="B443" s="2" t="s">
        <v>863</v>
      </c>
      <c r="C443" s="2" t="s">
        <v>84</v>
      </c>
      <c r="D443" s="4">
        <v>46055</v>
      </c>
      <c r="E443" s="2" t="s">
        <v>53</v>
      </c>
      <c r="F443" s="2" t="s">
        <v>32</v>
      </c>
      <c r="G443" s="2" t="s">
        <v>33</v>
      </c>
      <c r="H443" s="2" t="s">
        <v>34</v>
      </c>
      <c r="I443" s="2">
        <v>5</v>
      </c>
      <c r="J443" s="5">
        <v>1922370</v>
      </c>
      <c r="K443" s="5">
        <v>35000</v>
      </c>
      <c r="L443" s="2" t="s">
        <v>35</v>
      </c>
      <c r="M443" s="2" t="s">
        <v>36</v>
      </c>
      <c r="N443" s="2" t="s">
        <v>37</v>
      </c>
    </row>
    <row r="444" spans="1:14" x14ac:dyDescent="0.25">
      <c r="A444" s="2" t="s">
        <v>864</v>
      </c>
      <c r="B444" s="2" t="s">
        <v>417</v>
      </c>
      <c r="C444" s="2" t="s">
        <v>70</v>
      </c>
      <c r="D444" s="4">
        <v>46037</v>
      </c>
      <c r="E444" s="2" t="s">
        <v>53</v>
      </c>
      <c r="F444" s="2" t="s">
        <v>65</v>
      </c>
      <c r="G444" s="2" t="s">
        <v>81</v>
      </c>
      <c r="H444" s="2" t="s">
        <v>34</v>
      </c>
      <c r="I444" s="2">
        <v>1</v>
      </c>
      <c r="J444" s="5">
        <v>1118958</v>
      </c>
      <c r="K444" s="5">
        <v>15000</v>
      </c>
      <c r="L444" s="2" t="s">
        <v>35</v>
      </c>
      <c r="M444" s="2" t="s">
        <v>67</v>
      </c>
      <c r="N444" s="2" t="s">
        <v>61</v>
      </c>
    </row>
    <row r="445" spans="1:14" x14ac:dyDescent="0.25">
      <c r="A445" s="2" t="s">
        <v>865</v>
      </c>
      <c r="B445" s="2" t="s">
        <v>453</v>
      </c>
      <c r="C445" s="2" t="s">
        <v>158</v>
      </c>
      <c r="D445" s="4">
        <v>46037</v>
      </c>
      <c r="E445" s="2" t="s">
        <v>53</v>
      </c>
      <c r="F445" s="2" t="s">
        <v>42</v>
      </c>
      <c r="G445" s="2" t="s">
        <v>33</v>
      </c>
      <c r="H445" s="2" t="s">
        <v>34</v>
      </c>
      <c r="I445" s="2">
        <v>2</v>
      </c>
      <c r="J445" s="5">
        <v>651484</v>
      </c>
      <c r="K445" s="5">
        <v>35000</v>
      </c>
      <c r="L445" s="2" t="s">
        <v>35</v>
      </c>
      <c r="M445" s="2"/>
      <c r="N445" s="2" t="s">
        <v>37</v>
      </c>
    </row>
    <row r="446" spans="1:14" x14ac:dyDescent="0.25">
      <c r="A446" s="2" t="s">
        <v>866</v>
      </c>
      <c r="B446" s="2" t="s">
        <v>867</v>
      </c>
      <c r="C446" s="2" t="s">
        <v>382</v>
      </c>
      <c r="D446" s="4">
        <v>46191</v>
      </c>
      <c r="E446" s="2" t="s">
        <v>41</v>
      </c>
      <c r="F446" s="2" t="s">
        <v>32</v>
      </c>
      <c r="G446" s="2" t="s">
        <v>85</v>
      </c>
      <c r="H446" s="2" t="s">
        <v>47</v>
      </c>
      <c r="I446" s="2">
        <v>1</v>
      </c>
      <c r="J446" s="5">
        <v>633283</v>
      </c>
      <c r="K446" s="5">
        <v>0</v>
      </c>
      <c r="L446" s="2" t="s">
        <v>35</v>
      </c>
      <c r="M446" s="2" t="s">
        <v>36</v>
      </c>
      <c r="N446" s="2" t="s">
        <v>37</v>
      </c>
    </row>
    <row r="447" spans="1:14" x14ac:dyDescent="0.25">
      <c r="A447" s="2" t="s">
        <v>868</v>
      </c>
      <c r="B447" s="2" t="s">
        <v>247</v>
      </c>
      <c r="C447" s="2" t="s">
        <v>248</v>
      </c>
      <c r="D447" s="4">
        <v>46164</v>
      </c>
      <c r="E447" s="2" t="s">
        <v>348</v>
      </c>
      <c r="F447" s="2" t="s">
        <v>65</v>
      </c>
      <c r="G447" s="2" t="s">
        <v>33</v>
      </c>
      <c r="H447" s="2" t="s">
        <v>47</v>
      </c>
      <c r="I447" s="2">
        <v>5</v>
      </c>
      <c r="J447" s="5">
        <v>1347603</v>
      </c>
      <c r="K447" s="5">
        <v>15000</v>
      </c>
      <c r="L447" s="2" t="s">
        <v>48</v>
      </c>
      <c r="M447" s="2" t="s">
        <v>71</v>
      </c>
      <c r="N447" s="2" t="s">
        <v>37</v>
      </c>
    </row>
    <row r="448" spans="1:14" x14ac:dyDescent="0.25">
      <c r="A448" s="2" t="s">
        <v>869</v>
      </c>
      <c r="B448" s="2" t="s">
        <v>51</v>
      </c>
      <c r="C448" s="2" t="s">
        <v>52</v>
      </c>
      <c r="D448" s="4">
        <v>46043</v>
      </c>
      <c r="E448" s="2" t="s">
        <v>31</v>
      </c>
      <c r="F448" s="2" t="s">
        <v>65</v>
      </c>
      <c r="G448" s="2" t="s">
        <v>33</v>
      </c>
      <c r="H448" s="2" t="s">
        <v>34</v>
      </c>
      <c r="I448" s="2">
        <v>7</v>
      </c>
      <c r="J448" s="5">
        <v>973771</v>
      </c>
      <c r="K448" s="5">
        <v>15000</v>
      </c>
      <c r="L448" s="2" t="s">
        <v>89</v>
      </c>
      <c r="M448" s="2" t="s">
        <v>49</v>
      </c>
      <c r="N448" s="2" t="s">
        <v>61</v>
      </c>
    </row>
    <row r="449" spans="1:14" x14ac:dyDescent="0.25">
      <c r="A449" s="2" t="s">
        <v>870</v>
      </c>
      <c r="B449" s="2" t="s">
        <v>612</v>
      </c>
      <c r="C449" s="2" t="s">
        <v>101</v>
      </c>
      <c r="D449" s="4">
        <v>46201</v>
      </c>
      <c r="E449" s="2" t="s">
        <v>80</v>
      </c>
      <c r="F449" s="2" t="s">
        <v>32</v>
      </c>
      <c r="G449" s="2" t="s">
        <v>46</v>
      </c>
      <c r="H449" s="2" t="s">
        <v>47</v>
      </c>
      <c r="I449" s="2">
        <v>1</v>
      </c>
      <c r="J449" s="5" t="s">
        <v>871</v>
      </c>
      <c r="K449" s="5">
        <v>35000</v>
      </c>
      <c r="L449" s="2" t="s">
        <v>35</v>
      </c>
      <c r="M449" s="2" t="s">
        <v>71</v>
      </c>
      <c r="N449" s="2" t="s">
        <v>37</v>
      </c>
    </row>
    <row r="450" spans="1:14" x14ac:dyDescent="0.25">
      <c r="A450" s="2" t="s">
        <v>872</v>
      </c>
      <c r="B450" s="2" t="s">
        <v>784</v>
      </c>
      <c r="C450" s="2" t="s">
        <v>136</v>
      </c>
      <c r="D450" s="4">
        <v>46044</v>
      </c>
      <c r="E450" s="2" t="s">
        <v>41</v>
      </c>
      <c r="F450" s="2" t="s">
        <v>59</v>
      </c>
      <c r="G450" s="2" t="s">
        <v>60</v>
      </c>
      <c r="H450" s="2" t="s">
        <v>54</v>
      </c>
      <c r="I450" s="2">
        <v>7</v>
      </c>
      <c r="J450" s="5">
        <v>370484</v>
      </c>
      <c r="K450" s="5">
        <v>25000</v>
      </c>
      <c r="L450" s="2" t="s">
        <v>35</v>
      </c>
      <c r="M450" s="2" t="s">
        <v>36</v>
      </c>
      <c r="N450" s="2" t="s">
        <v>61</v>
      </c>
    </row>
    <row r="451" spans="1:14" x14ac:dyDescent="0.25">
      <c r="A451" s="2" t="s">
        <v>873</v>
      </c>
      <c r="B451" s="2" t="s">
        <v>874</v>
      </c>
      <c r="C451" s="2" t="s">
        <v>393</v>
      </c>
      <c r="D451" s="4">
        <v>46120</v>
      </c>
      <c r="E451" s="2" t="s">
        <v>53</v>
      </c>
      <c r="F451" s="2" t="s">
        <v>32</v>
      </c>
      <c r="G451" s="2" t="s">
        <v>81</v>
      </c>
      <c r="H451" s="2" t="s">
        <v>76</v>
      </c>
      <c r="I451" s="2">
        <v>5</v>
      </c>
      <c r="J451" s="5">
        <v>893542</v>
      </c>
      <c r="K451" s="5">
        <v>35000</v>
      </c>
      <c r="L451" s="2" t="s">
        <v>35</v>
      </c>
      <c r="M451" s="2" t="s">
        <v>67</v>
      </c>
      <c r="N451" s="2" t="s">
        <v>37</v>
      </c>
    </row>
    <row r="452" spans="1:14" x14ac:dyDescent="0.25">
      <c r="A452" s="2" t="s">
        <v>875</v>
      </c>
      <c r="B452" s="2" t="s">
        <v>847</v>
      </c>
      <c r="C452" s="2" t="s">
        <v>204</v>
      </c>
      <c r="D452" s="4">
        <v>46090</v>
      </c>
      <c r="E452" s="2" t="s">
        <v>41</v>
      </c>
      <c r="F452" s="2" t="s">
        <v>65</v>
      </c>
      <c r="G452" s="2" t="s">
        <v>81</v>
      </c>
      <c r="H452" s="2" t="s">
        <v>76</v>
      </c>
      <c r="I452" s="2">
        <v>3</v>
      </c>
      <c r="J452" s="5">
        <v>1028251</v>
      </c>
      <c r="K452" s="5">
        <v>0</v>
      </c>
      <c r="L452" s="2" t="s">
        <v>35</v>
      </c>
      <c r="M452" s="2" t="s">
        <v>36</v>
      </c>
      <c r="N452" s="2" t="s">
        <v>37</v>
      </c>
    </row>
    <row r="453" spans="1:14" x14ac:dyDescent="0.25">
      <c r="A453" s="2" t="s">
        <v>876</v>
      </c>
      <c r="B453" s="2" t="s">
        <v>498</v>
      </c>
      <c r="C453" s="2" t="s">
        <v>388</v>
      </c>
      <c r="D453" s="4">
        <v>46196</v>
      </c>
      <c r="E453" s="2" t="s">
        <v>53</v>
      </c>
      <c r="F453" s="2" t="s">
        <v>32</v>
      </c>
      <c r="G453" s="2" t="s">
        <v>85</v>
      </c>
      <c r="H453" s="2" t="s">
        <v>47</v>
      </c>
      <c r="I453" s="2">
        <v>4</v>
      </c>
      <c r="J453" s="5">
        <v>1325520</v>
      </c>
      <c r="K453" s="5">
        <v>50000</v>
      </c>
      <c r="L453" s="2" t="s">
        <v>35</v>
      </c>
      <c r="M453" s="2" t="s">
        <v>338</v>
      </c>
      <c r="N453" s="2" t="s">
        <v>37</v>
      </c>
    </row>
    <row r="454" spans="1:14" x14ac:dyDescent="0.25">
      <c r="A454" s="2" t="s">
        <v>877</v>
      </c>
      <c r="B454" s="2" t="s">
        <v>167</v>
      </c>
      <c r="C454" s="2" t="s">
        <v>84</v>
      </c>
      <c r="D454" s="4">
        <v>46083</v>
      </c>
      <c r="E454" s="2" t="s">
        <v>31</v>
      </c>
      <c r="F454" s="2" t="s">
        <v>32</v>
      </c>
      <c r="G454" s="2" t="s">
        <v>33</v>
      </c>
      <c r="H454" s="2" t="s">
        <v>76</v>
      </c>
      <c r="I454" s="2">
        <v>3</v>
      </c>
      <c r="J454" s="5">
        <v>673114</v>
      </c>
      <c r="K454" s="5">
        <v>0</v>
      </c>
      <c r="L454" s="2" t="s">
        <v>48</v>
      </c>
      <c r="M454" s="2" t="s">
        <v>36</v>
      </c>
      <c r="N454" s="2" t="s">
        <v>37</v>
      </c>
    </row>
    <row r="455" spans="1:14" x14ac:dyDescent="0.25">
      <c r="A455" s="2" t="s">
        <v>878</v>
      </c>
      <c r="B455" s="2" t="s">
        <v>355</v>
      </c>
      <c r="C455" s="2" t="s">
        <v>266</v>
      </c>
      <c r="D455" s="4">
        <v>46180</v>
      </c>
      <c r="E455" s="2" t="s">
        <v>53</v>
      </c>
      <c r="F455" s="2" t="s">
        <v>65</v>
      </c>
      <c r="G455" s="2" t="s">
        <v>81</v>
      </c>
      <c r="H455" s="2" t="s">
        <v>66</v>
      </c>
      <c r="I455" s="2">
        <v>3</v>
      </c>
      <c r="J455" s="5">
        <v>1270371</v>
      </c>
      <c r="K455" s="5">
        <v>25000</v>
      </c>
      <c r="L455" s="2" t="s">
        <v>35</v>
      </c>
      <c r="M455" s="2" t="s">
        <v>71</v>
      </c>
      <c r="N455" s="2" t="s">
        <v>37</v>
      </c>
    </row>
    <row r="456" spans="1:14" x14ac:dyDescent="0.25">
      <c r="A456" s="2" t="s">
        <v>879</v>
      </c>
      <c r="B456" s="2" t="s">
        <v>314</v>
      </c>
      <c r="C456" s="2" t="s">
        <v>84</v>
      </c>
      <c r="D456" s="4">
        <v>46090</v>
      </c>
      <c r="E456" s="2" t="s">
        <v>58</v>
      </c>
      <c r="F456" s="2" t="s">
        <v>32</v>
      </c>
      <c r="G456" s="2" t="s">
        <v>60</v>
      </c>
      <c r="H456" s="2" t="s">
        <v>76</v>
      </c>
      <c r="I456" s="2">
        <v>4</v>
      </c>
      <c r="J456" s="5">
        <v>869876</v>
      </c>
      <c r="K456" s="5">
        <v>35000</v>
      </c>
      <c r="L456" s="2" t="s">
        <v>35</v>
      </c>
      <c r="M456" s="2" t="s">
        <v>67</v>
      </c>
      <c r="N456" s="2" t="s">
        <v>61</v>
      </c>
    </row>
    <row r="457" spans="1:14" x14ac:dyDescent="0.25">
      <c r="A457" s="2" t="s">
        <v>880</v>
      </c>
      <c r="B457" s="2" t="s">
        <v>549</v>
      </c>
      <c r="C457" s="2" t="s">
        <v>198</v>
      </c>
      <c r="D457" s="4">
        <v>46037</v>
      </c>
      <c r="E457" s="2" t="s">
        <v>41</v>
      </c>
      <c r="F457" s="2" t="s">
        <v>42</v>
      </c>
      <c r="G457" s="2" t="s">
        <v>33</v>
      </c>
      <c r="H457" s="2" t="s">
        <v>66</v>
      </c>
      <c r="I457" s="2">
        <v>5</v>
      </c>
      <c r="J457" s="5">
        <v>453643</v>
      </c>
      <c r="K457" s="5">
        <v>25000</v>
      </c>
      <c r="L457" s="2" t="s">
        <v>35</v>
      </c>
      <c r="M457" s="2" t="s">
        <v>49</v>
      </c>
      <c r="N457" s="2" t="s">
        <v>37</v>
      </c>
    </row>
    <row r="458" spans="1:14" x14ac:dyDescent="0.25">
      <c r="A458" s="2" t="s">
        <v>881</v>
      </c>
      <c r="B458" s="2" t="s">
        <v>308</v>
      </c>
      <c r="C458" s="2" t="s">
        <v>309</v>
      </c>
      <c r="D458" s="4">
        <v>46149</v>
      </c>
      <c r="E458" s="2" t="s">
        <v>58</v>
      </c>
      <c r="F458" s="2" t="s">
        <v>42</v>
      </c>
      <c r="G458" s="2" t="s">
        <v>81</v>
      </c>
      <c r="H458" s="2" t="s">
        <v>54</v>
      </c>
      <c r="I458" s="2">
        <v>6</v>
      </c>
      <c r="J458" s="5">
        <v>653609</v>
      </c>
      <c r="K458" s="5">
        <v>15000</v>
      </c>
      <c r="L458" s="2" t="s">
        <v>123</v>
      </c>
      <c r="M458" s="2" t="s">
        <v>71</v>
      </c>
      <c r="N458" s="2" t="s">
        <v>61</v>
      </c>
    </row>
    <row r="459" spans="1:14" x14ac:dyDescent="0.25">
      <c r="A459" s="2" t="s">
        <v>882</v>
      </c>
      <c r="B459" s="2" t="s">
        <v>192</v>
      </c>
      <c r="C459" s="2" t="s">
        <v>101</v>
      </c>
      <c r="D459" s="4">
        <v>46152</v>
      </c>
      <c r="E459" s="2" t="s">
        <v>58</v>
      </c>
      <c r="F459" s="2" t="s">
        <v>32</v>
      </c>
      <c r="G459" s="2" t="s">
        <v>33</v>
      </c>
      <c r="H459" s="2" t="s">
        <v>54</v>
      </c>
      <c r="I459" s="2">
        <v>3</v>
      </c>
      <c r="J459" s="5">
        <v>1966789</v>
      </c>
      <c r="K459" s="5">
        <v>50000</v>
      </c>
      <c r="L459" s="2" t="s">
        <v>35</v>
      </c>
      <c r="M459" s="2" t="s">
        <v>36</v>
      </c>
      <c r="N459" s="2" t="s">
        <v>37</v>
      </c>
    </row>
    <row r="460" spans="1:14" x14ac:dyDescent="0.25">
      <c r="A460" s="2" t="s">
        <v>883</v>
      </c>
      <c r="B460" s="2" t="s">
        <v>87</v>
      </c>
      <c r="C460" s="2" t="s">
        <v>88</v>
      </c>
      <c r="D460" s="4">
        <v>46034</v>
      </c>
      <c r="E460" s="2" t="s">
        <v>53</v>
      </c>
      <c r="F460" s="2" t="s">
        <v>65</v>
      </c>
      <c r="G460" s="2" t="s">
        <v>85</v>
      </c>
      <c r="H460" s="2" t="s">
        <v>254</v>
      </c>
      <c r="I460" s="2">
        <v>1</v>
      </c>
      <c r="J460" s="5">
        <v>1104389</v>
      </c>
      <c r="K460" s="5">
        <v>25000</v>
      </c>
      <c r="L460" s="2" t="s">
        <v>35</v>
      </c>
      <c r="M460" s="2" t="s">
        <v>36</v>
      </c>
      <c r="N460" s="2" t="s">
        <v>37</v>
      </c>
    </row>
    <row r="461" spans="1:14" x14ac:dyDescent="0.25">
      <c r="A461" s="2" t="s">
        <v>884</v>
      </c>
      <c r="B461" s="2" t="s">
        <v>665</v>
      </c>
      <c r="C461" s="2" t="s">
        <v>442</v>
      </c>
      <c r="D461" s="4">
        <v>46118</v>
      </c>
      <c r="E461" s="2" t="s">
        <v>58</v>
      </c>
      <c r="F461" s="2" t="s">
        <v>32</v>
      </c>
      <c r="G461" s="2" t="s">
        <v>46</v>
      </c>
      <c r="H461" s="2" t="s">
        <v>66</v>
      </c>
      <c r="I461" s="2">
        <v>6</v>
      </c>
      <c r="J461" s="5">
        <v>1864703</v>
      </c>
      <c r="K461" s="5">
        <v>0</v>
      </c>
      <c r="L461" s="2" t="s">
        <v>35</v>
      </c>
      <c r="M461" s="2" t="s">
        <v>67</v>
      </c>
      <c r="N461" s="2" t="s">
        <v>37</v>
      </c>
    </row>
    <row r="462" spans="1:14" x14ac:dyDescent="0.25">
      <c r="A462" s="2" t="s">
        <v>885</v>
      </c>
      <c r="B462" s="2" t="s">
        <v>549</v>
      </c>
      <c r="C462" s="2" t="s">
        <v>198</v>
      </c>
      <c r="D462" s="4">
        <v>46189</v>
      </c>
      <c r="E462" s="2" t="s">
        <v>58</v>
      </c>
      <c r="F462" s="2" t="s">
        <v>32</v>
      </c>
      <c r="G462" s="2" t="s">
        <v>85</v>
      </c>
      <c r="H462" s="2" t="s">
        <v>76</v>
      </c>
      <c r="I462" s="2">
        <v>3</v>
      </c>
      <c r="J462" s="5">
        <v>1691671</v>
      </c>
      <c r="K462" s="5">
        <v>35000</v>
      </c>
      <c r="L462" s="2" t="s">
        <v>35</v>
      </c>
      <c r="M462" s="2" t="s">
        <v>67</v>
      </c>
      <c r="N462" s="2" t="s">
        <v>61</v>
      </c>
    </row>
    <row r="463" spans="1:14" x14ac:dyDescent="0.25">
      <c r="A463" s="2" t="s">
        <v>886</v>
      </c>
      <c r="B463" s="2" t="s">
        <v>887</v>
      </c>
      <c r="C463" s="2" t="s">
        <v>888</v>
      </c>
      <c r="D463" s="4">
        <v>46178</v>
      </c>
      <c r="E463" s="2" t="s">
        <v>53</v>
      </c>
      <c r="F463" s="2" t="s">
        <v>32</v>
      </c>
      <c r="G463" s="2" t="s">
        <v>85</v>
      </c>
      <c r="H463" s="2" t="s">
        <v>47</v>
      </c>
      <c r="I463" s="2">
        <v>5</v>
      </c>
      <c r="J463" s="5">
        <v>1007009</v>
      </c>
      <c r="K463" s="5">
        <v>25000</v>
      </c>
      <c r="L463" s="2" t="s">
        <v>35</v>
      </c>
      <c r="M463" s="2" t="s">
        <v>36</v>
      </c>
      <c r="N463" s="2" t="s">
        <v>61</v>
      </c>
    </row>
    <row r="464" spans="1:14" x14ac:dyDescent="0.25">
      <c r="A464" s="2" t="s">
        <v>889</v>
      </c>
      <c r="B464" s="2" t="s">
        <v>446</v>
      </c>
      <c r="C464" s="2" t="s">
        <v>98</v>
      </c>
      <c r="D464" s="4">
        <v>46061</v>
      </c>
      <c r="E464" s="2" t="s">
        <v>53</v>
      </c>
      <c r="F464" s="2" t="s">
        <v>59</v>
      </c>
      <c r="G464" s="2" t="s">
        <v>46</v>
      </c>
      <c r="H464" s="2" t="s">
        <v>54</v>
      </c>
      <c r="I464" s="2">
        <v>1</v>
      </c>
      <c r="J464" s="5">
        <v>1718405</v>
      </c>
      <c r="K464" s="5">
        <v>0</v>
      </c>
      <c r="L464" s="2" t="s">
        <v>89</v>
      </c>
      <c r="M464" s="2" t="s">
        <v>71</v>
      </c>
      <c r="N464" s="2" t="s">
        <v>61</v>
      </c>
    </row>
    <row r="465" spans="1:14" x14ac:dyDescent="0.25">
      <c r="A465" s="2" t="s">
        <v>890</v>
      </c>
      <c r="B465" s="2" t="s">
        <v>575</v>
      </c>
      <c r="C465" s="2" t="s">
        <v>576</v>
      </c>
      <c r="D465" s="4">
        <v>46143</v>
      </c>
      <c r="E465" s="2" t="s">
        <v>53</v>
      </c>
      <c r="F465" s="2" t="s">
        <v>32</v>
      </c>
      <c r="G465" s="2" t="s">
        <v>85</v>
      </c>
      <c r="H465" s="2" t="s">
        <v>66</v>
      </c>
      <c r="I465" s="2">
        <v>4</v>
      </c>
      <c r="J465" s="5">
        <v>2319694</v>
      </c>
      <c r="K465" s="5">
        <v>50000</v>
      </c>
      <c r="L465" s="2" t="s">
        <v>35</v>
      </c>
      <c r="M465" s="2" t="s">
        <v>67</v>
      </c>
      <c r="N465" s="2" t="s">
        <v>61</v>
      </c>
    </row>
    <row r="466" spans="1:14" x14ac:dyDescent="0.25">
      <c r="A466" s="2" t="s">
        <v>891</v>
      </c>
      <c r="B466" s="2" t="s">
        <v>318</v>
      </c>
      <c r="C466" s="2" t="s">
        <v>45</v>
      </c>
      <c r="D466" s="4">
        <v>46115</v>
      </c>
      <c r="E466" s="2" t="s">
        <v>31</v>
      </c>
      <c r="F466" s="2" t="s">
        <v>59</v>
      </c>
      <c r="G466" s="2" t="s">
        <v>584</v>
      </c>
      <c r="H466" s="2" t="s">
        <v>47</v>
      </c>
      <c r="I466" s="2">
        <v>3</v>
      </c>
      <c r="J466" s="5">
        <v>1088425</v>
      </c>
      <c r="K466" s="5">
        <v>35000</v>
      </c>
      <c r="L466" s="2" t="s">
        <v>35</v>
      </c>
      <c r="M466" s="2" t="s">
        <v>67</v>
      </c>
      <c r="N466" s="2" t="s">
        <v>37</v>
      </c>
    </row>
    <row r="467" spans="1:14" x14ac:dyDescent="0.25">
      <c r="A467" s="2" t="s">
        <v>892</v>
      </c>
      <c r="B467" s="2" t="s">
        <v>702</v>
      </c>
      <c r="C467" s="2" t="s">
        <v>101</v>
      </c>
      <c r="D467" s="4">
        <v>46113</v>
      </c>
      <c r="E467" s="2" t="s">
        <v>53</v>
      </c>
      <c r="F467" s="2" t="s">
        <v>42</v>
      </c>
      <c r="G467" s="2" t="s">
        <v>60</v>
      </c>
      <c r="H467" s="2" t="s">
        <v>47</v>
      </c>
      <c r="I467" s="2">
        <v>1</v>
      </c>
      <c r="J467" s="5"/>
      <c r="K467" s="5">
        <v>50000</v>
      </c>
      <c r="L467" s="2" t="s">
        <v>245</v>
      </c>
      <c r="M467" s="2" t="s">
        <v>36</v>
      </c>
      <c r="N467" s="2" t="s">
        <v>61</v>
      </c>
    </row>
    <row r="468" spans="1:14" x14ac:dyDescent="0.25">
      <c r="A468" s="2" t="s">
        <v>893</v>
      </c>
      <c r="B468" s="2" t="s">
        <v>413</v>
      </c>
      <c r="C468" s="2" t="s">
        <v>122</v>
      </c>
      <c r="D468" s="4">
        <v>46055</v>
      </c>
      <c r="E468" s="2" t="s">
        <v>31</v>
      </c>
      <c r="F468" s="2" t="s">
        <v>32</v>
      </c>
      <c r="G468" s="2" t="s">
        <v>33</v>
      </c>
      <c r="H468" s="2" t="s">
        <v>66</v>
      </c>
      <c r="I468" s="2">
        <v>7</v>
      </c>
      <c r="J468" s="5">
        <v>2374924</v>
      </c>
      <c r="K468" s="5">
        <v>15000</v>
      </c>
      <c r="L468" s="2" t="s">
        <v>245</v>
      </c>
      <c r="M468" s="2" t="s">
        <v>319</v>
      </c>
      <c r="N468" s="2" t="s">
        <v>37</v>
      </c>
    </row>
    <row r="469" spans="1:14" x14ac:dyDescent="0.25">
      <c r="A469" s="2" t="s">
        <v>894</v>
      </c>
      <c r="B469" s="2" t="s">
        <v>146</v>
      </c>
      <c r="C469" s="2" t="s">
        <v>40</v>
      </c>
      <c r="D469" s="4">
        <v>46043</v>
      </c>
      <c r="E469" s="2" t="s">
        <v>31</v>
      </c>
      <c r="F469" s="2" t="s">
        <v>42</v>
      </c>
      <c r="G469" s="2" t="s">
        <v>60</v>
      </c>
      <c r="H469" s="2" t="s">
        <v>54</v>
      </c>
      <c r="I469" s="2">
        <v>5</v>
      </c>
      <c r="J469" s="5">
        <v>1833384</v>
      </c>
      <c r="K469" s="5">
        <v>35000</v>
      </c>
      <c r="L469" s="2" t="s">
        <v>89</v>
      </c>
      <c r="M469" s="2" t="s">
        <v>71</v>
      </c>
      <c r="N469" s="2" t="s">
        <v>61</v>
      </c>
    </row>
    <row r="470" spans="1:14" x14ac:dyDescent="0.25">
      <c r="A470" s="2" t="s">
        <v>895</v>
      </c>
      <c r="B470" s="2" t="s">
        <v>146</v>
      </c>
      <c r="C470" s="2" t="s">
        <v>40</v>
      </c>
      <c r="D470" s="4">
        <v>46130</v>
      </c>
      <c r="E470" s="2" t="s">
        <v>31</v>
      </c>
      <c r="F470" s="2" t="s">
        <v>280</v>
      </c>
      <c r="G470" s="2" t="s">
        <v>60</v>
      </c>
      <c r="H470" s="2" t="s">
        <v>54</v>
      </c>
      <c r="I470" s="2">
        <v>6</v>
      </c>
      <c r="J470" s="5">
        <v>1224679</v>
      </c>
      <c r="K470" s="5">
        <v>50000</v>
      </c>
      <c r="L470" s="2" t="s">
        <v>245</v>
      </c>
      <c r="M470" s="2" t="s">
        <v>36</v>
      </c>
      <c r="N470" s="2" t="s">
        <v>61</v>
      </c>
    </row>
    <row r="471" spans="1:14" x14ac:dyDescent="0.25">
      <c r="A471" s="2" t="s">
        <v>896</v>
      </c>
      <c r="B471" s="2" t="s">
        <v>457</v>
      </c>
      <c r="C471" s="2" t="s">
        <v>260</v>
      </c>
      <c r="D471" s="2" t="s">
        <v>471</v>
      </c>
      <c r="E471" s="2" t="s">
        <v>205</v>
      </c>
      <c r="F471" s="2" t="s">
        <v>42</v>
      </c>
      <c r="G471" s="2" t="s">
        <v>75</v>
      </c>
      <c r="H471" s="2" t="s">
        <v>66</v>
      </c>
      <c r="I471" s="2">
        <v>4</v>
      </c>
      <c r="J471" s="5">
        <v>2279634</v>
      </c>
      <c r="K471" s="5">
        <v>50000</v>
      </c>
      <c r="L471" s="2" t="s">
        <v>245</v>
      </c>
      <c r="M471" s="2" t="s">
        <v>36</v>
      </c>
      <c r="N471" s="2" t="s">
        <v>61</v>
      </c>
    </row>
    <row r="472" spans="1:14" x14ac:dyDescent="0.25">
      <c r="A472" s="2" t="s">
        <v>897</v>
      </c>
      <c r="B472" s="2" t="s">
        <v>858</v>
      </c>
      <c r="C472" s="2" t="s">
        <v>64</v>
      </c>
      <c r="D472" s="4">
        <v>46109</v>
      </c>
      <c r="E472" s="2" t="s">
        <v>41</v>
      </c>
      <c r="F472" s="2" t="s">
        <v>59</v>
      </c>
      <c r="G472" s="2" t="s">
        <v>75</v>
      </c>
      <c r="H472" s="2" t="s">
        <v>47</v>
      </c>
      <c r="I472" s="2">
        <v>1</v>
      </c>
      <c r="J472" s="5">
        <v>572027</v>
      </c>
      <c r="K472" s="5">
        <v>0</v>
      </c>
      <c r="L472" s="2" t="s">
        <v>35</v>
      </c>
      <c r="M472" s="2" t="s">
        <v>36</v>
      </c>
      <c r="N472" s="2" t="s">
        <v>37</v>
      </c>
    </row>
    <row r="473" spans="1:14" x14ac:dyDescent="0.25">
      <c r="A473" s="2" t="s">
        <v>898</v>
      </c>
      <c r="B473" s="2" t="s">
        <v>330</v>
      </c>
      <c r="C473" s="2" t="s">
        <v>98</v>
      </c>
      <c r="D473" s="2" t="s">
        <v>899</v>
      </c>
      <c r="E473" s="2" t="s">
        <v>53</v>
      </c>
      <c r="F473" s="2" t="s">
        <v>65</v>
      </c>
      <c r="G473" s="2" t="s">
        <v>85</v>
      </c>
      <c r="H473" s="2" t="s">
        <v>54</v>
      </c>
      <c r="I473" s="2">
        <v>6</v>
      </c>
      <c r="J473" s="5">
        <v>684576</v>
      </c>
      <c r="K473" s="5">
        <v>15000</v>
      </c>
      <c r="L473" s="2" t="s">
        <v>177</v>
      </c>
      <c r="M473" s="2" t="s">
        <v>71</v>
      </c>
      <c r="N473" s="2" t="s">
        <v>37</v>
      </c>
    </row>
    <row r="474" spans="1:14" x14ac:dyDescent="0.25">
      <c r="A474" s="2" t="s">
        <v>900</v>
      </c>
      <c r="B474" s="2" t="s">
        <v>628</v>
      </c>
      <c r="C474" s="2" t="s">
        <v>388</v>
      </c>
      <c r="D474" s="4">
        <v>46189</v>
      </c>
      <c r="E474" s="2" t="s">
        <v>53</v>
      </c>
      <c r="F474" s="2" t="s">
        <v>32</v>
      </c>
      <c r="G474" s="2" t="s">
        <v>81</v>
      </c>
      <c r="H474" s="2" t="s">
        <v>34</v>
      </c>
      <c r="I474" s="2">
        <v>3</v>
      </c>
      <c r="J474" s="5">
        <v>2022230</v>
      </c>
      <c r="K474" s="5">
        <v>35000</v>
      </c>
      <c r="L474" s="2" t="s">
        <v>35</v>
      </c>
      <c r="M474" s="2" t="s">
        <v>36</v>
      </c>
      <c r="N474" s="2" t="s">
        <v>37</v>
      </c>
    </row>
    <row r="475" spans="1:14" x14ac:dyDescent="0.25">
      <c r="A475" s="2" t="s">
        <v>901</v>
      </c>
      <c r="B475" s="2" t="s">
        <v>189</v>
      </c>
      <c r="C475" s="2" t="s">
        <v>190</v>
      </c>
      <c r="D475" s="4">
        <v>46110</v>
      </c>
      <c r="E475" s="2" t="s">
        <v>41</v>
      </c>
      <c r="F475" s="2" t="s">
        <v>32</v>
      </c>
      <c r="G475" s="2" t="s">
        <v>33</v>
      </c>
      <c r="H475" s="2" t="s">
        <v>337</v>
      </c>
      <c r="I475" s="2">
        <v>5</v>
      </c>
      <c r="J475" s="5">
        <v>322534</v>
      </c>
      <c r="K475" s="5">
        <v>50000</v>
      </c>
      <c r="L475" s="2" t="s">
        <v>48</v>
      </c>
      <c r="M475" s="2" t="s">
        <v>49</v>
      </c>
      <c r="N475" s="2" t="s">
        <v>37</v>
      </c>
    </row>
    <row r="476" spans="1:14" x14ac:dyDescent="0.25">
      <c r="A476" s="2" t="s">
        <v>902</v>
      </c>
      <c r="B476" s="2" t="s">
        <v>903</v>
      </c>
      <c r="C476" s="2" t="s">
        <v>173</v>
      </c>
      <c r="D476" s="4">
        <v>46068</v>
      </c>
      <c r="E476" s="2" t="s">
        <v>31</v>
      </c>
      <c r="F476" s="2" t="s">
        <v>59</v>
      </c>
      <c r="G476" s="2" t="s">
        <v>46</v>
      </c>
      <c r="H476" s="2" t="s">
        <v>66</v>
      </c>
      <c r="I476" s="2">
        <v>7</v>
      </c>
      <c r="J476" s="5">
        <v>720609</v>
      </c>
      <c r="K476" s="5">
        <v>0</v>
      </c>
      <c r="L476" s="2" t="s">
        <v>245</v>
      </c>
      <c r="M476" s="2" t="s">
        <v>71</v>
      </c>
      <c r="N476" s="2" t="s">
        <v>37</v>
      </c>
    </row>
    <row r="477" spans="1:14" x14ac:dyDescent="0.25">
      <c r="A477" s="2" t="s">
        <v>904</v>
      </c>
      <c r="B477" s="2" t="s">
        <v>207</v>
      </c>
      <c r="C477" s="2" t="s">
        <v>208</v>
      </c>
      <c r="D477" s="4">
        <v>46111</v>
      </c>
      <c r="E477" s="2" t="s">
        <v>31</v>
      </c>
      <c r="F477" s="2" t="s">
        <v>42</v>
      </c>
      <c r="G477" s="2" t="s">
        <v>33</v>
      </c>
      <c r="H477" s="2" t="s">
        <v>66</v>
      </c>
      <c r="I477" s="2">
        <v>1</v>
      </c>
      <c r="J477" s="5">
        <v>1314499</v>
      </c>
      <c r="K477" s="5">
        <v>15000</v>
      </c>
      <c r="L477" s="2" t="s">
        <v>35</v>
      </c>
      <c r="M477" s="2" t="s">
        <v>36</v>
      </c>
      <c r="N477" s="2" t="s">
        <v>61</v>
      </c>
    </row>
    <row r="478" spans="1:14" x14ac:dyDescent="0.25">
      <c r="A478" s="2" t="s">
        <v>905</v>
      </c>
      <c r="B478" s="2" t="s">
        <v>847</v>
      </c>
      <c r="C478" s="2" t="s">
        <v>906</v>
      </c>
      <c r="D478" s="4">
        <v>46082</v>
      </c>
      <c r="E478" s="2" t="s">
        <v>31</v>
      </c>
      <c r="F478" s="2" t="s">
        <v>65</v>
      </c>
      <c r="G478" s="2" t="s">
        <v>46</v>
      </c>
      <c r="H478" s="2" t="s">
        <v>54</v>
      </c>
      <c r="I478" s="2">
        <v>1</v>
      </c>
      <c r="J478" s="5">
        <v>1288653</v>
      </c>
      <c r="K478" s="5">
        <v>15000</v>
      </c>
      <c r="L478" s="2" t="s">
        <v>35</v>
      </c>
      <c r="M478" s="2" t="s">
        <v>71</v>
      </c>
      <c r="N478" s="2" t="s">
        <v>61</v>
      </c>
    </row>
    <row r="479" spans="1:14" x14ac:dyDescent="0.25">
      <c r="A479" s="2" t="s">
        <v>907</v>
      </c>
      <c r="B479" s="2" t="s">
        <v>116</v>
      </c>
      <c r="C479" s="2" t="s">
        <v>74</v>
      </c>
      <c r="D479" s="4">
        <v>46148</v>
      </c>
      <c r="E479" s="2" t="s">
        <v>41</v>
      </c>
      <c r="F479" s="2" t="s">
        <v>59</v>
      </c>
      <c r="G479" s="2" t="s">
        <v>46</v>
      </c>
      <c r="H479" s="2" t="s">
        <v>34</v>
      </c>
      <c r="I479" s="2">
        <v>2</v>
      </c>
      <c r="J479" s="5">
        <v>228117</v>
      </c>
      <c r="K479" s="5">
        <v>25000</v>
      </c>
      <c r="L479" s="2" t="s">
        <v>35</v>
      </c>
      <c r="M479" s="2" t="s">
        <v>49</v>
      </c>
      <c r="N479" s="2" t="s">
        <v>37</v>
      </c>
    </row>
    <row r="480" spans="1:14" x14ac:dyDescent="0.25">
      <c r="A480" s="2" t="s">
        <v>908</v>
      </c>
      <c r="B480" s="2" t="s">
        <v>333</v>
      </c>
      <c r="C480" s="2" t="s">
        <v>334</v>
      </c>
      <c r="D480" s="4">
        <v>46051</v>
      </c>
      <c r="E480" s="2" t="s">
        <v>31</v>
      </c>
      <c r="F480" s="2" t="s">
        <v>32</v>
      </c>
      <c r="G480" s="2" t="s">
        <v>75</v>
      </c>
      <c r="H480" s="2" t="s">
        <v>54</v>
      </c>
      <c r="I480" s="2">
        <v>4</v>
      </c>
      <c r="J480" s="5">
        <v>623067</v>
      </c>
      <c r="K480" s="5">
        <v>35000</v>
      </c>
      <c r="L480" s="2" t="s">
        <v>35</v>
      </c>
      <c r="M480" s="2" t="s">
        <v>67</v>
      </c>
      <c r="N480" s="2" t="s">
        <v>37</v>
      </c>
    </row>
    <row r="481" spans="1:14" x14ac:dyDescent="0.25">
      <c r="A481" s="2" t="s">
        <v>909</v>
      </c>
      <c r="B481" s="2" t="s">
        <v>710</v>
      </c>
      <c r="C481" s="2" t="s">
        <v>101</v>
      </c>
      <c r="D481" s="4">
        <v>46043</v>
      </c>
      <c r="E481" s="2" t="s">
        <v>41</v>
      </c>
      <c r="F481" s="2" t="s">
        <v>65</v>
      </c>
      <c r="G481" s="2" t="s">
        <v>559</v>
      </c>
      <c r="H481" s="2" t="s">
        <v>66</v>
      </c>
      <c r="I481" s="2">
        <v>3</v>
      </c>
      <c r="J481" s="5">
        <v>1052988</v>
      </c>
      <c r="K481" s="5">
        <v>0</v>
      </c>
      <c r="L481" s="2" t="s">
        <v>35</v>
      </c>
      <c r="M481" s="2" t="s">
        <v>67</v>
      </c>
      <c r="N481" s="2" t="s">
        <v>61</v>
      </c>
    </row>
    <row r="482" spans="1:14" x14ac:dyDescent="0.25">
      <c r="A482" s="2" t="s">
        <v>910</v>
      </c>
      <c r="B482" s="2" t="s">
        <v>450</v>
      </c>
      <c r="C482" s="2" t="s">
        <v>219</v>
      </c>
      <c r="D482" s="4">
        <v>46048</v>
      </c>
      <c r="E482" s="2" t="s">
        <v>58</v>
      </c>
      <c r="F482" s="2" t="s">
        <v>65</v>
      </c>
      <c r="G482" s="2" t="s">
        <v>85</v>
      </c>
      <c r="H482" s="2" t="s">
        <v>34</v>
      </c>
      <c r="I482" s="2">
        <v>2</v>
      </c>
      <c r="J482" s="5">
        <v>2306477</v>
      </c>
      <c r="K482" s="5">
        <v>25000</v>
      </c>
      <c r="L482" s="2" t="s">
        <v>48</v>
      </c>
      <c r="M482" s="2" t="s">
        <v>49</v>
      </c>
      <c r="N482" s="2" t="s">
        <v>37</v>
      </c>
    </row>
    <row r="483" spans="1:14" x14ac:dyDescent="0.25">
      <c r="A483" s="2" t="s">
        <v>911</v>
      </c>
      <c r="B483" s="2" t="s">
        <v>283</v>
      </c>
      <c r="C483" s="2" t="s">
        <v>284</v>
      </c>
      <c r="D483" s="4">
        <v>46079</v>
      </c>
      <c r="E483" s="2" t="s">
        <v>41</v>
      </c>
      <c r="F483" s="2" t="s">
        <v>32</v>
      </c>
      <c r="G483" s="2" t="s">
        <v>85</v>
      </c>
      <c r="H483" s="2" t="s">
        <v>34</v>
      </c>
      <c r="I483" s="2">
        <v>4</v>
      </c>
      <c r="J483" s="5">
        <v>940734</v>
      </c>
      <c r="K483" s="5">
        <v>25000</v>
      </c>
      <c r="L483" s="2" t="s">
        <v>35</v>
      </c>
      <c r="M483" s="2" t="s">
        <v>71</v>
      </c>
      <c r="N483" s="2" t="s">
        <v>61</v>
      </c>
    </row>
    <row r="484" spans="1:14" x14ac:dyDescent="0.25">
      <c r="A484" s="2" t="s">
        <v>912</v>
      </c>
      <c r="B484" s="2" t="s">
        <v>913</v>
      </c>
      <c r="C484" s="2" t="s">
        <v>309</v>
      </c>
      <c r="D484" s="4">
        <v>46077</v>
      </c>
      <c r="E484" s="2" t="s">
        <v>767</v>
      </c>
      <c r="F484" s="2" t="s">
        <v>65</v>
      </c>
      <c r="G484" s="2" t="s">
        <v>60</v>
      </c>
      <c r="H484" s="2" t="s">
        <v>66</v>
      </c>
      <c r="I484" s="2">
        <v>1</v>
      </c>
      <c r="J484" s="5">
        <v>133412</v>
      </c>
      <c r="K484" s="5">
        <v>35000</v>
      </c>
      <c r="L484" s="2" t="s">
        <v>35</v>
      </c>
      <c r="M484" s="2" t="s">
        <v>36</v>
      </c>
      <c r="N484" s="2" t="s">
        <v>37</v>
      </c>
    </row>
    <row r="485" spans="1:14" x14ac:dyDescent="0.25">
      <c r="A485" s="2" t="s">
        <v>914</v>
      </c>
      <c r="B485" s="2" t="s">
        <v>369</v>
      </c>
      <c r="C485" s="2" t="s">
        <v>370</v>
      </c>
      <c r="D485" s="4">
        <v>46172</v>
      </c>
      <c r="E485" s="2" t="s">
        <v>80</v>
      </c>
      <c r="F485" s="2" t="s">
        <v>915</v>
      </c>
      <c r="G485" s="2" t="s">
        <v>33</v>
      </c>
      <c r="H485" s="2" t="s">
        <v>47</v>
      </c>
      <c r="I485" s="2">
        <v>4</v>
      </c>
      <c r="J485" s="5">
        <v>1104469</v>
      </c>
      <c r="K485" s="5">
        <v>25000</v>
      </c>
      <c r="L485" s="2" t="s">
        <v>35</v>
      </c>
      <c r="M485" s="2" t="s">
        <v>49</v>
      </c>
      <c r="N485" s="2" t="s">
        <v>37</v>
      </c>
    </row>
    <row r="486" spans="1:14" x14ac:dyDescent="0.25">
      <c r="A486" s="2" t="s">
        <v>916</v>
      </c>
      <c r="B486" s="2" t="s">
        <v>461</v>
      </c>
      <c r="C486" s="2" t="s">
        <v>152</v>
      </c>
      <c r="D486" s="4">
        <v>46184</v>
      </c>
      <c r="E486" s="2" t="s">
        <v>31</v>
      </c>
      <c r="F486" s="2" t="s">
        <v>65</v>
      </c>
      <c r="G486" s="2" t="s">
        <v>33</v>
      </c>
      <c r="H486" s="2" t="s">
        <v>47</v>
      </c>
      <c r="I486" s="2">
        <v>3</v>
      </c>
      <c r="J486" s="5">
        <v>1765048</v>
      </c>
      <c r="K486" s="5">
        <v>50000</v>
      </c>
      <c r="L486" s="2" t="s">
        <v>35</v>
      </c>
      <c r="M486" s="2" t="s">
        <v>67</v>
      </c>
      <c r="N486" s="2" t="s">
        <v>37</v>
      </c>
    </row>
    <row r="487" spans="1:14" x14ac:dyDescent="0.25">
      <c r="A487" s="2" t="s">
        <v>917</v>
      </c>
      <c r="B487" s="2" t="s">
        <v>606</v>
      </c>
      <c r="C487" s="2" t="s">
        <v>370</v>
      </c>
      <c r="D487" s="4">
        <v>46086</v>
      </c>
      <c r="E487" s="2" t="s">
        <v>58</v>
      </c>
      <c r="F487" s="2" t="s">
        <v>32</v>
      </c>
      <c r="G487" s="2" t="s">
        <v>75</v>
      </c>
      <c r="H487" s="2" t="s">
        <v>47</v>
      </c>
      <c r="I487" s="2">
        <v>2</v>
      </c>
      <c r="J487" s="5">
        <v>1902014</v>
      </c>
      <c r="K487" s="5">
        <v>0</v>
      </c>
      <c r="L487" s="2" t="s">
        <v>35</v>
      </c>
      <c r="M487" s="2" t="s">
        <v>67</v>
      </c>
      <c r="N487" s="2" t="s">
        <v>61</v>
      </c>
    </row>
    <row r="488" spans="1:14" x14ac:dyDescent="0.25">
      <c r="A488" s="2" t="s">
        <v>918</v>
      </c>
      <c r="B488" s="2" t="s">
        <v>919</v>
      </c>
      <c r="C488" s="2" t="s">
        <v>176</v>
      </c>
      <c r="D488" s="4">
        <v>46146</v>
      </c>
      <c r="E488" s="2" t="s">
        <v>80</v>
      </c>
      <c r="F488" s="2" t="s">
        <v>42</v>
      </c>
      <c r="G488" s="2" t="s">
        <v>60</v>
      </c>
      <c r="H488" s="2" t="s">
        <v>54</v>
      </c>
      <c r="I488" s="2">
        <v>4</v>
      </c>
      <c r="J488" s="5">
        <v>2171746</v>
      </c>
      <c r="K488" s="5">
        <v>50000</v>
      </c>
      <c r="L488" s="2" t="s">
        <v>35</v>
      </c>
      <c r="M488" s="2" t="s">
        <v>67</v>
      </c>
      <c r="N488" s="2" t="s">
        <v>37</v>
      </c>
    </row>
    <row r="489" spans="1:14" x14ac:dyDescent="0.25">
      <c r="A489" s="2" t="s">
        <v>920</v>
      </c>
      <c r="B489" s="2" t="s">
        <v>921</v>
      </c>
      <c r="C489" s="2" t="s">
        <v>200</v>
      </c>
      <c r="D489" s="4">
        <v>46195</v>
      </c>
      <c r="E489" s="2" t="s">
        <v>58</v>
      </c>
      <c r="F489" s="2" t="s">
        <v>32</v>
      </c>
      <c r="G489" s="2" t="s">
        <v>60</v>
      </c>
      <c r="H489" s="2" t="s">
        <v>34</v>
      </c>
      <c r="I489" s="2">
        <v>4</v>
      </c>
      <c r="J489" s="5">
        <v>1452187</v>
      </c>
      <c r="K489" s="5">
        <v>35000</v>
      </c>
      <c r="L489" s="2" t="s">
        <v>48</v>
      </c>
      <c r="M489" s="2" t="s">
        <v>36</v>
      </c>
      <c r="N489" s="2" t="s">
        <v>37</v>
      </c>
    </row>
    <row r="490" spans="1:14" x14ac:dyDescent="0.25">
      <c r="A490" s="2" t="s">
        <v>922</v>
      </c>
      <c r="B490" s="2" t="s">
        <v>923</v>
      </c>
      <c r="C490" s="2" t="s">
        <v>370</v>
      </c>
      <c r="D490" s="4">
        <v>46034</v>
      </c>
      <c r="E490" s="2" t="s">
        <v>53</v>
      </c>
      <c r="F490" s="2" t="s">
        <v>42</v>
      </c>
      <c r="G490" s="2" t="s">
        <v>75</v>
      </c>
      <c r="H490" s="2" t="s">
        <v>54</v>
      </c>
      <c r="I490" s="2"/>
      <c r="J490" s="5" t="s">
        <v>924</v>
      </c>
      <c r="K490" s="5">
        <v>35000</v>
      </c>
      <c r="L490" s="2" t="s">
        <v>35</v>
      </c>
      <c r="M490" s="2" t="s">
        <v>71</v>
      </c>
      <c r="N490" s="2" t="s">
        <v>37</v>
      </c>
    </row>
    <row r="491" spans="1:14" x14ac:dyDescent="0.25">
      <c r="A491" s="2" t="s">
        <v>925</v>
      </c>
      <c r="B491" s="2" t="s">
        <v>844</v>
      </c>
      <c r="C491" s="2" t="s">
        <v>382</v>
      </c>
      <c r="D491" s="4">
        <v>46177</v>
      </c>
      <c r="E491" s="2" t="s">
        <v>80</v>
      </c>
      <c r="F491" s="2" t="s">
        <v>32</v>
      </c>
      <c r="G491" s="2" t="s">
        <v>46</v>
      </c>
      <c r="H491" s="2" t="s">
        <v>54</v>
      </c>
      <c r="I491" s="2">
        <v>6</v>
      </c>
      <c r="J491" s="5">
        <v>2383948</v>
      </c>
      <c r="K491" s="5">
        <v>0</v>
      </c>
      <c r="L491" s="2" t="s">
        <v>35</v>
      </c>
      <c r="M491" s="2" t="s">
        <v>36</v>
      </c>
      <c r="N491" s="2" t="s">
        <v>61</v>
      </c>
    </row>
    <row r="492" spans="1:14" x14ac:dyDescent="0.25">
      <c r="A492" s="2" t="s">
        <v>926</v>
      </c>
      <c r="B492" s="2" t="s">
        <v>913</v>
      </c>
      <c r="C492" s="2" t="s">
        <v>309</v>
      </c>
      <c r="D492" s="4">
        <v>46076</v>
      </c>
      <c r="E492" s="2" t="s">
        <v>31</v>
      </c>
      <c r="F492" s="2" t="s">
        <v>32</v>
      </c>
      <c r="G492" s="2" t="s">
        <v>85</v>
      </c>
      <c r="H492" s="2" t="s">
        <v>66</v>
      </c>
      <c r="I492" s="2">
        <v>2</v>
      </c>
      <c r="J492" s="5">
        <v>1638748</v>
      </c>
      <c r="K492" s="5">
        <v>50000</v>
      </c>
      <c r="L492" s="2" t="s">
        <v>89</v>
      </c>
      <c r="M492" s="2" t="s">
        <v>71</v>
      </c>
      <c r="N492" s="2" t="s">
        <v>37</v>
      </c>
    </row>
    <row r="493" spans="1:14" x14ac:dyDescent="0.25">
      <c r="A493" s="2" t="s">
        <v>927</v>
      </c>
      <c r="B493" s="2" t="s">
        <v>100</v>
      </c>
      <c r="C493" s="2" t="s">
        <v>928</v>
      </c>
      <c r="D493" s="4">
        <v>46078</v>
      </c>
      <c r="E493" s="2" t="s">
        <v>53</v>
      </c>
      <c r="F493" s="2" t="s">
        <v>65</v>
      </c>
      <c r="G493" s="2" t="s">
        <v>46</v>
      </c>
      <c r="H493" s="2" t="s">
        <v>47</v>
      </c>
      <c r="I493" s="2">
        <v>1</v>
      </c>
      <c r="J493" s="5">
        <v>2439245</v>
      </c>
      <c r="K493" s="5">
        <v>15000</v>
      </c>
      <c r="L493" s="2" t="s">
        <v>35</v>
      </c>
      <c r="M493" s="2" t="s">
        <v>67</v>
      </c>
      <c r="N493" s="2" t="s">
        <v>37</v>
      </c>
    </row>
    <row r="494" spans="1:14" x14ac:dyDescent="0.25">
      <c r="A494" s="2" t="s">
        <v>929</v>
      </c>
      <c r="B494" s="2" t="s">
        <v>327</v>
      </c>
      <c r="C494" s="2" t="s">
        <v>328</v>
      </c>
      <c r="D494" s="4">
        <v>46063</v>
      </c>
      <c r="E494" s="2" t="s">
        <v>31</v>
      </c>
      <c r="F494" s="2" t="s">
        <v>65</v>
      </c>
      <c r="G494" s="2" t="s">
        <v>33</v>
      </c>
      <c r="H494" s="2" t="s">
        <v>54</v>
      </c>
      <c r="I494" s="2">
        <v>1</v>
      </c>
      <c r="J494" s="5">
        <v>1307364</v>
      </c>
      <c r="K494" s="5">
        <v>25000</v>
      </c>
      <c r="L494" s="2" t="s">
        <v>35</v>
      </c>
      <c r="M494" s="2" t="s">
        <v>71</v>
      </c>
      <c r="N494" s="2" t="s">
        <v>37</v>
      </c>
    </row>
    <row r="495" spans="1:14" x14ac:dyDescent="0.25">
      <c r="A495" s="2" t="s">
        <v>930</v>
      </c>
      <c r="B495" s="2" t="s">
        <v>597</v>
      </c>
      <c r="C495" s="2" t="s">
        <v>190</v>
      </c>
      <c r="D495" s="4">
        <v>46125</v>
      </c>
      <c r="E495" s="2" t="s">
        <v>41</v>
      </c>
      <c r="F495" s="2" t="s">
        <v>65</v>
      </c>
      <c r="G495" s="2" t="s">
        <v>81</v>
      </c>
      <c r="H495" s="2" t="s">
        <v>76</v>
      </c>
      <c r="I495" s="2">
        <v>7</v>
      </c>
      <c r="J495" s="5">
        <v>670264</v>
      </c>
      <c r="K495" s="5">
        <v>25000</v>
      </c>
      <c r="L495" s="2" t="s">
        <v>35</v>
      </c>
      <c r="M495" s="2" t="s">
        <v>67</v>
      </c>
      <c r="N495" s="2" t="s">
        <v>61</v>
      </c>
    </row>
    <row r="496" spans="1:14" x14ac:dyDescent="0.25">
      <c r="A496" s="2" t="s">
        <v>931</v>
      </c>
      <c r="B496" s="2" t="s">
        <v>932</v>
      </c>
      <c r="C496" s="2" t="s">
        <v>727</v>
      </c>
      <c r="D496" s="4">
        <v>46173</v>
      </c>
      <c r="E496" s="2" t="s">
        <v>80</v>
      </c>
      <c r="F496" s="2" t="s">
        <v>59</v>
      </c>
      <c r="G496" s="2" t="s">
        <v>46</v>
      </c>
      <c r="H496" s="2" t="s">
        <v>54</v>
      </c>
      <c r="I496" s="2">
        <v>7</v>
      </c>
      <c r="J496" s="5">
        <v>1760492</v>
      </c>
      <c r="K496" s="5">
        <v>15000</v>
      </c>
      <c r="L496" s="2" t="s">
        <v>35</v>
      </c>
      <c r="M496" s="2" t="s">
        <v>108</v>
      </c>
      <c r="N496" s="2" t="s">
        <v>37</v>
      </c>
    </row>
    <row r="497" spans="1:14" x14ac:dyDescent="0.25">
      <c r="A497" s="2" t="s">
        <v>933</v>
      </c>
      <c r="B497" s="2" t="s">
        <v>91</v>
      </c>
      <c r="C497" s="2" t="s">
        <v>92</v>
      </c>
      <c r="D497" s="4">
        <v>46140</v>
      </c>
      <c r="E497" s="2" t="s">
        <v>41</v>
      </c>
      <c r="F497" s="2" t="s">
        <v>65</v>
      </c>
      <c r="G497" s="2" t="s">
        <v>85</v>
      </c>
      <c r="H497" s="2" t="s">
        <v>47</v>
      </c>
      <c r="I497" s="2">
        <v>3</v>
      </c>
      <c r="J497" s="5">
        <v>970045</v>
      </c>
      <c r="K497" s="5">
        <v>0</v>
      </c>
      <c r="L497" s="2" t="s">
        <v>89</v>
      </c>
      <c r="M497" s="2" t="s">
        <v>71</v>
      </c>
      <c r="N497" s="2" t="s">
        <v>37</v>
      </c>
    </row>
    <row r="498" spans="1:14" x14ac:dyDescent="0.25">
      <c r="A498" s="2" t="s">
        <v>934</v>
      </c>
      <c r="B498" s="2" t="s">
        <v>475</v>
      </c>
      <c r="C498" s="2" t="s">
        <v>328</v>
      </c>
      <c r="D498" s="4">
        <v>46095</v>
      </c>
      <c r="E498" s="2" t="s">
        <v>41</v>
      </c>
      <c r="F498" s="2" t="s">
        <v>32</v>
      </c>
      <c r="G498" s="2" t="s">
        <v>46</v>
      </c>
      <c r="H498" s="2" t="s">
        <v>54</v>
      </c>
      <c r="I498" s="2">
        <v>2</v>
      </c>
      <c r="J498" s="5">
        <v>2356419</v>
      </c>
      <c r="K498" s="5">
        <v>50000</v>
      </c>
      <c r="L498" s="2" t="s">
        <v>35</v>
      </c>
      <c r="M498" s="2" t="s">
        <v>49</v>
      </c>
      <c r="N498" s="2" t="s">
        <v>37</v>
      </c>
    </row>
    <row r="499" spans="1:14" x14ac:dyDescent="0.25">
      <c r="A499" s="2" t="s">
        <v>935</v>
      </c>
      <c r="B499" s="2" t="s">
        <v>685</v>
      </c>
      <c r="C499" s="2" t="s">
        <v>79</v>
      </c>
      <c r="D499" s="2"/>
      <c r="E499" s="2" t="s">
        <v>53</v>
      </c>
      <c r="F499" s="2" t="s">
        <v>65</v>
      </c>
      <c r="G499" s="2" t="s">
        <v>75</v>
      </c>
      <c r="H499" s="2" t="s">
        <v>66</v>
      </c>
      <c r="I499" s="2">
        <v>7</v>
      </c>
      <c r="J499" s="5">
        <v>224404</v>
      </c>
      <c r="K499" s="5">
        <v>35000</v>
      </c>
      <c r="L499" s="2" t="s">
        <v>35</v>
      </c>
      <c r="M499" s="2" t="s">
        <v>36</v>
      </c>
      <c r="N499" s="2" t="s">
        <v>37</v>
      </c>
    </row>
    <row r="500" spans="1:14" x14ac:dyDescent="0.25">
      <c r="A500" s="2" t="s">
        <v>936</v>
      </c>
      <c r="B500" s="2" t="s">
        <v>135</v>
      </c>
      <c r="C500" s="2" t="s">
        <v>136</v>
      </c>
      <c r="D500" s="4">
        <v>46184</v>
      </c>
      <c r="E500" s="2" t="s">
        <v>41</v>
      </c>
      <c r="F500" s="2" t="s">
        <v>42</v>
      </c>
      <c r="G500" s="2" t="s">
        <v>81</v>
      </c>
      <c r="H500" s="2" t="s">
        <v>34</v>
      </c>
      <c r="I500" s="2">
        <v>5</v>
      </c>
      <c r="J500" s="5">
        <v>470788</v>
      </c>
      <c r="K500" s="5">
        <v>0</v>
      </c>
      <c r="L500" s="2" t="s">
        <v>35</v>
      </c>
      <c r="M500" s="2" t="s">
        <v>71</v>
      </c>
      <c r="N500" s="2" t="s">
        <v>37</v>
      </c>
    </row>
    <row r="501" spans="1:14" x14ac:dyDescent="0.25">
      <c r="A501" s="2" t="s">
        <v>937</v>
      </c>
      <c r="B501" s="2" t="s">
        <v>745</v>
      </c>
      <c r="C501" s="2" t="s">
        <v>158</v>
      </c>
      <c r="D501" s="4">
        <v>46144</v>
      </c>
      <c r="E501" s="2" t="s">
        <v>80</v>
      </c>
      <c r="F501" s="2" t="s">
        <v>59</v>
      </c>
      <c r="G501" s="2" t="s">
        <v>33</v>
      </c>
      <c r="H501" s="2" t="s">
        <v>66</v>
      </c>
      <c r="I501" s="2">
        <v>7</v>
      </c>
      <c r="J501" s="5">
        <v>2315322</v>
      </c>
      <c r="K501" s="5">
        <v>50000</v>
      </c>
      <c r="L501" s="2" t="s">
        <v>123</v>
      </c>
      <c r="M501" s="2" t="s">
        <v>36</v>
      </c>
      <c r="N501" s="2" t="s">
        <v>61</v>
      </c>
    </row>
    <row r="502" spans="1:14" x14ac:dyDescent="0.25">
      <c r="A502" s="2" t="s">
        <v>938</v>
      </c>
      <c r="B502" s="2" t="s">
        <v>355</v>
      </c>
      <c r="C502" s="2" t="s">
        <v>266</v>
      </c>
      <c r="D502" s="4">
        <v>46105</v>
      </c>
      <c r="E502" s="2" t="s">
        <v>53</v>
      </c>
      <c r="F502" s="2" t="s">
        <v>59</v>
      </c>
      <c r="G502" s="2" t="s">
        <v>46</v>
      </c>
      <c r="H502" s="2" t="s">
        <v>47</v>
      </c>
      <c r="I502" s="2">
        <v>4</v>
      </c>
      <c r="J502" s="5">
        <v>2491091</v>
      </c>
      <c r="K502" s="5">
        <v>50000</v>
      </c>
      <c r="L502" s="2" t="s">
        <v>48</v>
      </c>
      <c r="M502" s="2" t="s">
        <v>36</v>
      </c>
      <c r="N502" s="2" t="s">
        <v>37</v>
      </c>
    </row>
    <row r="503" spans="1:14" x14ac:dyDescent="0.25">
      <c r="A503" s="2" t="s">
        <v>939</v>
      </c>
      <c r="B503" s="2" t="s">
        <v>940</v>
      </c>
      <c r="C503" s="2" t="s">
        <v>636</v>
      </c>
      <c r="D503" s="4">
        <v>46083</v>
      </c>
      <c r="E503" s="2" t="s">
        <v>58</v>
      </c>
      <c r="F503" s="2" t="s">
        <v>65</v>
      </c>
      <c r="G503" s="2" t="s">
        <v>60</v>
      </c>
      <c r="H503" s="2" t="s">
        <v>130</v>
      </c>
      <c r="I503" s="2">
        <v>6</v>
      </c>
      <c r="J503" s="5">
        <v>1469886</v>
      </c>
      <c r="K503" s="5">
        <v>35000</v>
      </c>
      <c r="L503" s="2" t="s">
        <v>35</v>
      </c>
      <c r="M503" s="2" t="s">
        <v>36</v>
      </c>
      <c r="N503" s="2" t="s">
        <v>37</v>
      </c>
    </row>
    <row r="504" spans="1:14" x14ac:dyDescent="0.25">
      <c r="A504" s="2" t="s">
        <v>941</v>
      </c>
      <c r="B504" s="2" t="s">
        <v>39</v>
      </c>
      <c r="C504" s="2" t="s">
        <v>40</v>
      </c>
      <c r="D504" s="4">
        <v>46026</v>
      </c>
      <c r="E504" s="2" t="s">
        <v>58</v>
      </c>
      <c r="F504" s="2" t="s">
        <v>65</v>
      </c>
      <c r="G504" s="2" t="s">
        <v>60</v>
      </c>
      <c r="H504" s="2" t="s">
        <v>47</v>
      </c>
      <c r="I504" s="2">
        <v>6</v>
      </c>
      <c r="J504" s="5">
        <v>799867</v>
      </c>
      <c r="K504" s="5">
        <v>50000</v>
      </c>
      <c r="L504" s="2" t="s">
        <v>35</v>
      </c>
      <c r="M504" s="2" t="s">
        <v>67</v>
      </c>
      <c r="N504" s="2" t="s">
        <v>61</v>
      </c>
    </row>
    <row r="505" spans="1:14" x14ac:dyDescent="0.25">
      <c r="A505" s="2" t="s">
        <v>942</v>
      </c>
      <c r="B505" s="2" t="s">
        <v>943</v>
      </c>
      <c r="C505" s="2" t="s">
        <v>165</v>
      </c>
      <c r="D505" s="4">
        <v>46157</v>
      </c>
      <c r="E505" s="2" t="s">
        <v>58</v>
      </c>
      <c r="F505" s="2" t="s">
        <v>59</v>
      </c>
      <c r="G505" s="2" t="s">
        <v>33</v>
      </c>
      <c r="H505" s="2" t="s">
        <v>66</v>
      </c>
      <c r="I505" s="2">
        <v>6</v>
      </c>
      <c r="J505" s="5">
        <v>2163437</v>
      </c>
      <c r="K505" s="5">
        <v>15000</v>
      </c>
      <c r="L505" s="2" t="s">
        <v>48</v>
      </c>
      <c r="M505" s="2" t="s">
        <v>67</v>
      </c>
      <c r="N505" s="2" t="s">
        <v>37</v>
      </c>
    </row>
    <row r="506" spans="1:14" x14ac:dyDescent="0.25">
      <c r="A506" s="2" t="s">
        <v>944</v>
      </c>
      <c r="B506" s="2" t="s">
        <v>745</v>
      </c>
      <c r="C506" s="2" t="s">
        <v>158</v>
      </c>
      <c r="D506" s="4">
        <v>46118</v>
      </c>
      <c r="E506" s="2" t="s">
        <v>53</v>
      </c>
      <c r="F506" s="2" t="s">
        <v>32</v>
      </c>
      <c r="G506" s="2" t="s">
        <v>46</v>
      </c>
      <c r="H506" s="2" t="s">
        <v>76</v>
      </c>
      <c r="I506" s="2">
        <v>2</v>
      </c>
      <c r="J506" s="5">
        <v>2484792</v>
      </c>
      <c r="K506" s="5">
        <v>15000</v>
      </c>
      <c r="L506" s="2" t="s">
        <v>35</v>
      </c>
      <c r="M506" s="2" t="s">
        <v>36</v>
      </c>
      <c r="N506" s="2" t="s">
        <v>37</v>
      </c>
    </row>
    <row r="507" spans="1:14" x14ac:dyDescent="0.25">
      <c r="A507" s="2" t="s">
        <v>945</v>
      </c>
      <c r="B507" s="2" t="s">
        <v>172</v>
      </c>
      <c r="C507" s="2" t="s">
        <v>173</v>
      </c>
      <c r="D507" s="4">
        <v>46141</v>
      </c>
      <c r="E507" s="2" t="s">
        <v>31</v>
      </c>
      <c r="F507" s="2" t="s">
        <v>42</v>
      </c>
      <c r="G507" s="2" t="s">
        <v>46</v>
      </c>
      <c r="H507" s="2" t="s">
        <v>47</v>
      </c>
      <c r="I507" s="2">
        <v>6</v>
      </c>
      <c r="J507" s="5">
        <v>1003392</v>
      </c>
      <c r="K507" s="5">
        <v>25000</v>
      </c>
      <c r="L507" s="2" t="s">
        <v>35</v>
      </c>
      <c r="M507" s="2" t="s">
        <v>71</v>
      </c>
      <c r="N507" s="2" t="s">
        <v>61</v>
      </c>
    </row>
    <row r="508" spans="1:14" x14ac:dyDescent="0.25">
      <c r="A508" s="2" t="s">
        <v>946</v>
      </c>
      <c r="B508" s="2" t="s">
        <v>110</v>
      </c>
      <c r="C508" s="2" t="s">
        <v>111</v>
      </c>
      <c r="D508" s="4">
        <v>46129</v>
      </c>
      <c r="E508" s="2" t="s">
        <v>80</v>
      </c>
      <c r="F508" s="2" t="s">
        <v>42</v>
      </c>
      <c r="G508" s="2" t="s">
        <v>85</v>
      </c>
      <c r="H508" s="2" t="s">
        <v>54</v>
      </c>
      <c r="I508" s="2">
        <v>4</v>
      </c>
      <c r="J508" s="5">
        <v>871727</v>
      </c>
      <c r="K508" s="5">
        <v>15000</v>
      </c>
      <c r="L508" s="2" t="s">
        <v>35</v>
      </c>
      <c r="M508" s="2" t="s">
        <v>49</v>
      </c>
      <c r="N508" s="2" t="s">
        <v>37</v>
      </c>
    </row>
    <row r="509" spans="1:14" x14ac:dyDescent="0.25">
      <c r="A509" s="2" t="s">
        <v>947</v>
      </c>
      <c r="B509" s="2" t="s">
        <v>316</v>
      </c>
      <c r="C509" s="2" t="s">
        <v>224</v>
      </c>
      <c r="D509" s="4">
        <v>46047</v>
      </c>
      <c r="E509" s="2" t="s">
        <v>53</v>
      </c>
      <c r="F509" s="2" t="s">
        <v>42</v>
      </c>
      <c r="G509" s="2" t="s">
        <v>147</v>
      </c>
      <c r="H509" s="2" t="s">
        <v>54</v>
      </c>
      <c r="I509" s="2">
        <v>4</v>
      </c>
      <c r="J509" s="5">
        <v>376304</v>
      </c>
      <c r="K509" s="5">
        <v>50000</v>
      </c>
      <c r="L509" s="2" t="s">
        <v>35</v>
      </c>
      <c r="M509" s="2" t="s">
        <v>67</v>
      </c>
      <c r="N509" s="2" t="s">
        <v>61</v>
      </c>
    </row>
    <row r="510" spans="1:14" x14ac:dyDescent="0.25">
      <c r="A510" s="2" t="s">
        <v>948</v>
      </c>
      <c r="B510" s="2" t="s">
        <v>91</v>
      </c>
      <c r="C510" s="2" t="s">
        <v>92</v>
      </c>
      <c r="D510" s="4">
        <v>46095</v>
      </c>
      <c r="E510" s="2" t="s">
        <v>41</v>
      </c>
      <c r="F510" s="2" t="s">
        <v>32</v>
      </c>
      <c r="G510" s="2" t="s">
        <v>46</v>
      </c>
      <c r="H510" s="2" t="s">
        <v>76</v>
      </c>
      <c r="I510" s="2">
        <v>6</v>
      </c>
      <c r="J510" s="5">
        <v>1907468</v>
      </c>
      <c r="K510" s="5">
        <v>50000</v>
      </c>
      <c r="L510" s="2" t="s">
        <v>35</v>
      </c>
      <c r="M510" s="2" t="s">
        <v>36</v>
      </c>
      <c r="N510" s="2" t="s">
        <v>61</v>
      </c>
    </row>
    <row r="511" spans="1:14" x14ac:dyDescent="0.25">
      <c r="A511" s="2" t="s">
        <v>949</v>
      </c>
      <c r="B511" s="2" t="s">
        <v>453</v>
      </c>
      <c r="C511" s="2" t="s">
        <v>158</v>
      </c>
      <c r="D511" s="4">
        <v>46174</v>
      </c>
      <c r="E511" s="2" t="s">
        <v>53</v>
      </c>
      <c r="F511" s="2" t="s">
        <v>65</v>
      </c>
      <c r="G511" s="2" t="s">
        <v>85</v>
      </c>
      <c r="H511" s="2" t="s">
        <v>76</v>
      </c>
      <c r="I511" s="2">
        <v>6</v>
      </c>
      <c r="J511" s="5">
        <v>759303</v>
      </c>
      <c r="K511" s="5">
        <v>0</v>
      </c>
      <c r="L511" s="2" t="s">
        <v>35</v>
      </c>
      <c r="M511" s="2" t="s">
        <v>67</v>
      </c>
      <c r="N511" s="2" t="s">
        <v>37</v>
      </c>
    </row>
    <row r="512" spans="1:14" x14ac:dyDescent="0.25">
      <c r="A512" s="2" t="s">
        <v>950</v>
      </c>
      <c r="B512" s="2" t="s">
        <v>316</v>
      </c>
      <c r="C512" s="2" t="s">
        <v>224</v>
      </c>
      <c r="D512" s="4">
        <v>46170</v>
      </c>
      <c r="E512" s="2" t="s">
        <v>58</v>
      </c>
      <c r="F512" s="2" t="s">
        <v>42</v>
      </c>
      <c r="G512" s="2" t="s">
        <v>85</v>
      </c>
      <c r="H512" s="2" t="s">
        <v>54</v>
      </c>
      <c r="I512" s="2">
        <v>6</v>
      </c>
      <c r="J512" s="5">
        <v>1282818</v>
      </c>
      <c r="K512" s="5">
        <v>50000</v>
      </c>
      <c r="L512" s="2" t="s">
        <v>245</v>
      </c>
      <c r="M512" s="2" t="s">
        <v>67</v>
      </c>
      <c r="N512" s="2" t="s">
        <v>61</v>
      </c>
    </row>
    <row r="513" spans="1:14" x14ac:dyDescent="0.25">
      <c r="A513" s="2" t="s">
        <v>951</v>
      </c>
      <c r="B513" s="2" t="s">
        <v>135</v>
      </c>
      <c r="C513" s="2" t="s">
        <v>136</v>
      </c>
      <c r="D513" s="4">
        <v>46065</v>
      </c>
      <c r="E513" s="2" t="s">
        <v>31</v>
      </c>
      <c r="F513" s="2" t="s">
        <v>159</v>
      </c>
      <c r="G513" s="2" t="s">
        <v>60</v>
      </c>
      <c r="H513" s="2" t="s">
        <v>47</v>
      </c>
      <c r="I513" s="2">
        <v>3</v>
      </c>
      <c r="J513" s="5">
        <v>2114240</v>
      </c>
      <c r="K513" s="5">
        <v>0</v>
      </c>
      <c r="L513" s="2" t="s">
        <v>35</v>
      </c>
      <c r="M513" s="2" t="s">
        <v>49</v>
      </c>
      <c r="N513" s="2" t="s">
        <v>37</v>
      </c>
    </row>
    <row r="514" spans="1:14" x14ac:dyDescent="0.25">
      <c r="A514" s="2" t="s">
        <v>952</v>
      </c>
      <c r="B514" s="2" t="s">
        <v>298</v>
      </c>
      <c r="C514" s="2" t="s">
        <v>88</v>
      </c>
      <c r="D514" s="4">
        <v>46151</v>
      </c>
      <c r="E514" s="2" t="s">
        <v>41</v>
      </c>
      <c r="F514" s="2" t="s">
        <v>32</v>
      </c>
      <c r="G514" s="2" t="s">
        <v>33</v>
      </c>
      <c r="H514" s="2" t="s">
        <v>76</v>
      </c>
      <c r="I514" s="2">
        <v>5</v>
      </c>
      <c r="J514" s="5">
        <v>611977</v>
      </c>
      <c r="K514" s="5">
        <v>15000</v>
      </c>
      <c r="L514" s="2" t="s">
        <v>35</v>
      </c>
      <c r="M514" s="2" t="s">
        <v>71</v>
      </c>
      <c r="N514" s="2" t="s">
        <v>37</v>
      </c>
    </row>
    <row r="515" spans="1:14" x14ac:dyDescent="0.25">
      <c r="A515" s="2" t="s">
        <v>953</v>
      </c>
      <c r="B515" s="2" t="s">
        <v>595</v>
      </c>
      <c r="C515" s="2" t="s">
        <v>107</v>
      </c>
      <c r="D515" s="4">
        <v>46043</v>
      </c>
      <c r="E515" s="2" t="s">
        <v>53</v>
      </c>
      <c r="F515" s="2" t="s">
        <v>59</v>
      </c>
      <c r="G515" s="2" t="s">
        <v>60</v>
      </c>
      <c r="H515" s="2" t="s">
        <v>66</v>
      </c>
      <c r="I515" s="2">
        <v>6</v>
      </c>
      <c r="J515" s="5">
        <v>1017158</v>
      </c>
      <c r="K515" s="5">
        <v>15000</v>
      </c>
      <c r="L515" s="2" t="s">
        <v>48</v>
      </c>
      <c r="M515" s="2" t="s">
        <v>49</v>
      </c>
      <c r="N515" s="2" t="s">
        <v>61</v>
      </c>
    </row>
    <row r="516" spans="1:14" x14ac:dyDescent="0.25">
      <c r="A516" s="2" t="s">
        <v>954</v>
      </c>
      <c r="B516" s="2" t="s">
        <v>955</v>
      </c>
      <c r="C516" s="2" t="s">
        <v>64</v>
      </c>
      <c r="D516" s="4">
        <v>46134</v>
      </c>
      <c r="E516" s="2" t="s">
        <v>80</v>
      </c>
      <c r="F516" s="2" t="s">
        <v>59</v>
      </c>
      <c r="G516" s="2" t="s">
        <v>85</v>
      </c>
      <c r="H516" s="2" t="s">
        <v>76</v>
      </c>
      <c r="I516" s="2">
        <v>1</v>
      </c>
      <c r="J516" s="5">
        <v>1580374</v>
      </c>
      <c r="K516" s="5">
        <v>15000</v>
      </c>
      <c r="L516" s="2" t="s">
        <v>48</v>
      </c>
      <c r="M516" s="2" t="s">
        <v>49</v>
      </c>
      <c r="N516" s="2" t="s">
        <v>61</v>
      </c>
    </row>
    <row r="517" spans="1:14" x14ac:dyDescent="0.25">
      <c r="A517" s="2" t="s">
        <v>956</v>
      </c>
      <c r="B517" s="2" t="s">
        <v>290</v>
      </c>
      <c r="C517" s="2" t="s">
        <v>104</v>
      </c>
      <c r="D517" s="4">
        <v>46118</v>
      </c>
      <c r="E517" s="2" t="s">
        <v>58</v>
      </c>
      <c r="F517" s="2" t="s">
        <v>32</v>
      </c>
      <c r="G517" s="2" t="s">
        <v>33</v>
      </c>
      <c r="H517" s="2" t="s">
        <v>54</v>
      </c>
      <c r="I517" s="2">
        <v>2</v>
      </c>
      <c r="J517" s="5">
        <v>870803</v>
      </c>
      <c r="K517" s="5">
        <v>0</v>
      </c>
      <c r="L517" s="2" t="s">
        <v>35</v>
      </c>
      <c r="M517" s="2" t="s">
        <v>36</v>
      </c>
      <c r="N517" s="2" t="s">
        <v>37</v>
      </c>
    </row>
    <row r="518" spans="1:14" x14ac:dyDescent="0.25">
      <c r="A518" s="2" t="s">
        <v>957</v>
      </c>
      <c r="B518" s="2" t="s">
        <v>688</v>
      </c>
      <c r="C518" s="2" t="s">
        <v>689</v>
      </c>
      <c r="D518" s="2" t="s">
        <v>958</v>
      </c>
      <c r="E518" s="2" t="s">
        <v>41</v>
      </c>
      <c r="F518" s="2" t="s">
        <v>59</v>
      </c>
      <c r="G518" s="2" t="s">
        <v>81</v>
      </c>
      <c r="H518" s="2" t="s">
        <v>66</v>
      </c>
      <c r="I518" s="2">
        <v>5</v>
      </c>
      <c r="J518" s="5">
        <v>2228868</v>
      </c>
      <c r="K518" s="5">
        <v>0</v>
      </c>
      <c r="L518" s="2" t="s">
        <v>35</v>
      </c>
      <c r="M518" s="2" t="s">
        <v>36</v>
      </c>
      <c r="N518" s="2" t="s">
        <v>37</v>
      </c>
    </row>
    <row r="519" spans="1:14" x14ac:dyDescent="0.25">
      <c r="A519" s="2" t="s">
        <v>959</v>
      </c>
      <c r="B519" s="2" t="s">
        <v>943</v>
      </c>
      <c r="C519" s="2" t="s">
        <v>165</v>
      </c>
      <c r="D519" s="4">
        <v>46037</v>
      </c>
      <c r="E519" s="2" t="s">
        <v>41</v>
      </c>
      <c r="F519" s="2" t="s">
        <v>65</v>
      </c>
      <c r="G519" s="2" t="s">
        <v>81</v>
      </c>
      <c r="H519" s="2" t="s">
        <v>66</v>
      </c>
      <c r="I519" s="2">
        <v>5</v>
      </c>
      <c r="J519" s="5">
        <v>247617</v>
      </c>
      <c r="K519" s="5">
        <v>35000</v>
      </c>
      <c r="L519" s="2" t="s">
        <v>35</v>
      </c>
      <c r="M519" s="2" t="s">
        <v>36</v>
      </c>
      <c r="N519" s="2" t="s">
        <v>61</v>
      </c>
    </row>
    <row r="520" spans="1:14" x14ac:dyDescent="0.25">
      <c r="A520" s="2" t="s">
        <v>960</v>
      </c>
      <c r="B520" s="2" t="s">
        <v>961</v>
      </c>
      <c r="C520" s="2" t="s">
        <v>636</v>
      </c>
      <c r="D520" s="4">
        <v>46062</v>
      </c>
      <c r="E520" s="2" t="s">
        <v>58</v>
      </c>
      <c r="F520" s="2" t="s">
        <v>59</v>
      </c>
      <c r="G520" s="2" t="s">
        <v>75</v>
      </c>
      <c r="H520" s="2" t="s">
        <v>54</v>
      </c>
      <c r="I520" s="2">
        <v>1</v>
      </c>
      <c r="J520" s="5">
        <v>862004</v>
      </c>
      <c r="K520" s="5">
        <v>15000</v>
      </c>
      <c r="L520" s="2" t="s">
        <v>35</v>
      </c>
      <c r="M520" s="2" t="s">
        <v>71</v>
      </c>
      <c r="N520" s="2" t="s">
        <v>37</v>
      </c>
    </row>
    <row r="521" spans="1:14" x14ac:dyDescent="0.25">
      <c r="A521" s="2" t="s">
        <v>962</v>
      </c>
      <c r="B521" s="2" t="s">
        <v>932</v>
      </c>
      <c r="C521" s="2" t="s">
        <v>963</v>
      </c>
      <c r="D521" s="4">
        <v>46162</v>
      </c>
      <c r="E521" s="2" t="s">
        <v>964</v>
      </c>
      <c r="F521" s="2" t="s">
        <v>42</v>
      </c>
      <c r="G521" s="2" t="s">
        <v>46</v>
      </c>
      <c r="H521" s="2" t="s">
        <v>66</v>
      </c>
      <c r="I521" s="2">
        <v>6</v>
      </c>
      <c r="J521" s="5">
        <v>1283827</v>
      </c>
      <c r="K521" s="5">
        <v>15000</v>
      </c>
      <c r="L521" s="2" t="s">
        <v>35</v>
      </c>
      <c r="M521" s="2" t="s">
        <v>67</v>
      </c>
      <c r="N521" s="2" t="s">
        <v>61</v>
      </c>
    </row>
    <row r="522" spans="1:14" x14ac:dyDescent="0.25">
      <c r="A522" s="2" t="s">
        <v>965</v>
      </c>
      <c r="B522" s="2" t="s">
        <v>396</v>
      </c>
      <c r="C522" s="2" t="s">
        <v>241</v>
      </c>
      <c r="D522" s="4">
        <v>46126</v>
      </c>
      <c r="E522" s="2" t="s">
        <v>31</v>
      </c>
      <c r="F522" s="2" t="s">
        <v>32</v>
      </c>
      <c r="G522" s="2" t="s">
        <v>81</v>
      </c>
      <c r="H522" s="2" t="s">
        <v>34</v>
      </c>
      <c r="I522" s="2">
        <v>1</v>
      </c>
      <c r="J522" s="5">
        <v>1866418</v>
      </c>
      <c r="K522" s="5">
        <v>0</v>
      </c>
      <c r="L522" s="2" t="s">
        <v>35</v>
      </c>
      <c r="M522" s="2" t="s">
        <v>36</v>
      </c>
      <c r="N522" s="2" t="s">
        <v>37</v>
      </c>
    </row>
    <row r="523" spans="1:14" x14ac:dyDescent="0.25">
      <c r="A523" s="2" t="s">
        <v>966</v>
      </c>
      <c r="B523" s="2" t="s">
        <v>56</v>
      </c>
      <c r="C523" s="2" t="s">
        <v>57</v>
      </c>
      <c r="D523" s="4">
        <v>46093</v>
      </c>
      <c r="E523" s="2" t="s">
        <v>678</v>
      </c>
      <c r="F523" s="2" t="s">
        <v>32</v>
      </c>
      <c r="G523" s="2" t="s">
        <v>33</v>
      </c>
      <c r="H523" s="2" t="s">
        <v>76</v>
      </c>
      <c r="I523" s="2">
        <v>4</v>
      </c>
      <c r="J523" s="5">
        <v>953338</v>
      </c>
      <c r="K523" s="5">
        <v>50000</v>
      </c>
      <c r="L523" s="2" t="s">
        <v>35</v>
      </c>
      <c r="M523" s="2" t="s">
        <v>36</v>
      </c>
      <c r="N523" s="2" t="s">
        <v>37</v>
      </c>
    </row>
    <row r="524" spans="1:14" x14ac:dyDescent="0.25">
      <c r="A524" s="2" t="s">
        <v>967</v>
      </c>
      <c r="B524" s="2" t="s">
        <v>146</v>
      </c>
      <c r="C524" s="2" t="s">
        <v>40</v>
      </c>
      <c r="D524" s="4">
        <v>46110</v>
      </c>
      <c r="E524" s="2" t="s">
        <v>41</v>
      </c>
      <c r="F524" s="2" t="s">
        <v>65</v>
      </c>
      <c r="G524" s="2" t="s">
        <v>81</v>
      </c>
      <c r="H524" s="2" t="s">
        <v>54</v>
      </c>
      <c r="I524" s="2">
        <v>7</v>
      </c>
      <c r="J524" s="5">
        <v>2075603</v>
      </c>
      <c r="K524" s="5">
        <v>50000</v>
      </c>
      <c r="L524" s="2" t="s">
        <v>35</v>
      </c>
      <c r="M524" s="2" t="s">
        <v>36</v>
      </c>
      <c r="N524" s="2" t="s">
        <v>61</v>
      </c>
    </row>
    <row r="525" spans="1:14" x14ac:dyDescent="0.25">
      <c r="A525" s="2" t="s">
        <v>968</v>
      </c>
      <c r="B525" s="2" t="s">
        <v>132</v>
      </c>
      <c r="C525" s="2" t="s">
        <v>133</v>
      </c>
      <c r="D525" s="4">
        <v>46045</v>
      </c>
      <c r="E525" s="2" t="s">
        <v>31</v>
      </c>
      <c r="F525" s="2" t="s">
        <v>65</v>
      </c>
      <c r="G525" s="2" t="s">
        <v>85</v>
      </c>
      <c r="H525" s="2" t="s">
        <v>66</v>
      </c>
      <c r="I525" s="2">
        <v>5</v>
      </c>
      <c r="J525" s="5">
        <v>898709</v>
      </c>
      <c r="K525" s="5">
        <v>25000</v>
      </c>
      <c r="L525" s="2" t="s">
        <v>35</v>
      </c>
      <c r="M525" s="2" t="s">
        <v>67</v>
      </c>
      <c r="N525" s="2" t="s">
        <v>37</v>
      </c>
    </row>
    <row r="526" spans="1:14" x14ac:dyDescent="0.25">
      <c r="A526" s="2" t="s">
        <v>969</v>
      </c>
      <c r="B526" s="2" t="s">
        <v>702</v>
      </c>
      <c r="C526" s="2" t="s">
        <v>101</v>
      </c>
      <c r="D526" s="4">
        <v>46086</v>
      </c>
      <c r="E526" s="2" t="s">
        <v>58</v>
      </c>
      <c r="F526" s="2" t="s">
        <v>59</v>
      </c>
      <c r="G526" s="2" t="s">
        <v>75</v>
      </c>
      <c r="H526" s="2" t="s">
        <v>66</v>
      </c>
      <c r="I526" s="2">
        <v>6</v>
      </c>
      <c r="J526" s="5">
        <v>1410932</v>
      </c>
      <c r="K526" s="5">
        <v>15000</v>
      </c>
      <c r="L526" s="2" t="s">
        <v>35</v>
      </c>
      <c r="M526" s="2" t="s">
        <v>67</v>
      </c>
      <c r="N526" s="2" t="s">
        <v>61</v>
      </c>
    </row>
    <row r="527" spans="1:14" x14ac:dyDescent="0.25">
      <c r="A527" s="2" t="s">
        <v>970</v>
      </c>
      <c r="B527" s="2" t="s">
        <v>51</v>
      </c>
      <c r="C527" s="2" t="s">
        <v>52</v>
      </c>
      <c r="D527" s="4">
        <v>46058</v>
      </c>
      <c r="E527" s="2" t="s">
        <v>31</v>
      </c>
      <c r="F527" s="2" t="s">
        <v>42</v>
      </c>
      <c r="G527" s="2" t="s">
        <v>33</v>
      </c>
      <c r="H527" s="2" t="s">
        <v>66</v>
      </c>
      <c r="I527" s="2">
        <v>4</v>
      </c>
      <c r="J527" s="5">
        <v>2489949</v>
      </c>
      <c r="K527" s="5">
        <v>25000</v>
      </c>
      <c r="L527" s="2" t="s">
        <v>35</v>
      </c>
      <c r="M527" s="2" t="s">
        <v>67</v>
      </c>
      <c r="N527" s="2" t="s">
        <v>37</v>
      </c>
    </row>
    <row r="528" spans="1:14" x14ac:dyDescent="0.25">
      <c r="A528" s="2" t="s">
        <v>971</v>
      </c>
      <c r="B528" s="2" t="s">
        <v>143</v>
      </c>
      <c r="C528" s="2" t="s">
        <v>144</v>
      </c>
      <c r="D528" s="4">
        <v>46046</v>
      </c>
      <c r="E528" s="2" t="s">
        <v>53</v>
      </c>
      <c r="F528" s="2" t="s">
        <v>59</v>
      </c>
      <c r="G528" s="2" t="s">
        <v>75</v>
      </c>
      <c r="H528" s="2" t="s">
        <v>34</v>
      </c>
      <c r="I528" s="2">
        <v>5</v>
      </c>
      <c r="J528" s="5">
        <v>2174729</v>
      </c>
      <c r="K528" s="5">
        <v>25000</v>
      </c>
      <c r="L528" s="2" t="s">
        <v>35</v>
      </c>
      <c r="M528" s="2" t="s">
        <v>71</v>
      </c>
      <c r="N528" s="2" t="s">
        <v>61</v>
      </c>
    </row>
    <row r="529" spans="1:14" x14ac:dyDescent="0.25">
      <c r="A529" s="2" t="s">
        <v>972</v>
      </c>
      <c r="B529" s="2" t="s">
        <v>187</v>
      </c>
      <c r="C529" s="2" t="s">
        <v>88</v>
      </c>
      <c r="D529" s="4">
        <v>46172</v>
      </c>
      <c r="E529" s="2" t="s">
        <v>41</v>
      </c>
      <c r="F529" s="2" t="s">
        <v>32</v>
      </c>
      <c r="G529" s="2" t="s">
        <v>75</v>
      </c>
      <c r="H529" s="2" t="s">
        <v>66</v>
      </c>
      <c r="I529" s="2">
        <v>5</v>
      </c>
      <c r="J529" s="5">
        <v>1737662</v>
      </c>
      <c r="K529" s="5">
        <v>15000</v>
      </c>
      <c r="L529" s="2" t="s">
        <v>35</v>
      </c>
      <c r="M529" s="2" t="s">
        <v>973</v>
      </c>
      <c r="N529" s="2" t="s">
        <v>61</v>
      </c>
    </row>
    <row r="530" spans="1:14" x14ac:dyDescent="0.25">
      <c r="A530" s="2" t="s">
        <v>974</v>
      </c>
      <c r="B530" s="2" t="s">
        <v>341</v>
      </c>
      <c r="C530" s="2" t="s">
        <v>342</v>
      </c>
      <c r="D530" s="4">
        <v>46202</v>
      </c>
      <c r="E530" s="2" t="s">
        <v>53</v>
      </c>
      <c r="F530" s="2" t="s">
        <v>42</v>
      </c>
      <c r="G530" s="2" t="s">
        <v>33</v>
      </c>
      <c r="H530" s="2" t="s">
        <v>34</v>
      </c>
      <c r="I530" s="2">
        <v>7</v>
      </c>
      <c r="J530" s="5">
        <v>2232944</v>
      </c>
      <c r="K530" s="5">
        <v>50000</v>
      </c>
      <c r="L530" s="2" t="s">
        <v>35</v>
      </c>
      <c r="M530" s="2" t="s">
        <v>67</v>
      </c>
      <c r="N530" s="2" t="s">
        <v>37</v>
      </c>
    </row>
    <row r="531" spans="1:14" x14ac:dyDescent="0.25">
      <c r="A531" s="2" t="s">
        <v>975</v>
      </c>
      <c r="B531" s="2" t="s">
        <v>921</v>
      </c>
      <c r="C531" s="2" t="s">
        <v>200</v>
      </c>
      <c r="D531" s="4">
        <v>46031</v>
      </c>
      <c r="E531" s="2" t="s">
        <v>41</v>
      </c>
      <c r="F531" s="2" t="s">
        <v>32</v>
      </c>
      <c r="G531" s="2" t="s">
        <v>33</v>
      </c>
      <c r="H531" s="2" t="s">
        <v>76</v>
      </c>
      <c r="I531" s="2">
        <v>6</v>
      </c>
      <c r="J531" s="5" t="s">
        <v>976</v>
      </c>
      <c r="K531" s="5">
        <v>50000</v>
      </c>
      <c r="L531" s="2" t="s">
        <v>35</v>
      </c>
      <c r="M531" s="2" t="s">
        <v>36</v>
      </c>
      <c r="N531" s="2" t="s">
        <v>37</v>
      </c>
    </row>
    <row r="532" spans="1:14" x14ac:dyDescent="0.25">
      <c r="A532" s="2" t="s">
        <v>977</v>
      </c>
      <c r="B532" s="2" t="s">
        <v>446</v>
      </c>
      <c r="C532" s="2" t="s">
        <v>98</v>
      </c>
      <c r="D532" s="2" t="s">
        <v>978</v>
      </c>
      <c r="E532" s="2" t="s">
        <v>58</v>
      </c>
      <c r="F532" s="2" t="s">
        <v>42</v>
      </c>
      <c r="G532" s="2" t="s">
        <v>60</v>
      </c>
      <c r="H532" s="2" t="s">
        <v>47</v>
      </c>
      <c r="I532" s="2">
        <v>6</v>
      </c>
      <c r="J532" s="5">
        <v>261976</v>
      </c>
      <c r="K532" s="5">
        <v>25000</v>
      </c>
      <c r="L532" s="2" t="s">
        <v>35</v>
      </c>
      <c r="M532" s="2" t="s">
        <v>36</v>
      </c>
      <c r="N532" s="2" t="s">
        <v>37</v>
      </c>
    </row>
    <row r="533" spans="1:14" x14ac:dyDescent="0.25">
      <c r="A533" s="2" t="s">
        <v>979</v>
      </c>
      <c r="B533" s="2" t="s">
        <v>858</v>
      </c>
      <c r="C533" s="2" t="s">
        <v>64</v>
      </c>
      <c r="D533" s="4">
        <v>46188</v>
      </c>
      <c r="E533" s="2" t="s">
        <v>31</v>
      </c>
      <c r="F533" s="2" t="s">
        <v>65</v>
      </c>
      <c r="G533" s="2" t="s">
        <v>60</v>
      </c>
      <c r="H533" s="2" t="s">
        <v>76</v>
      </c>
      <c r="I533" s="2">
        <v>3</v>
      </c>
      <c r="J533" s="5">
        <v>540301</v>
      </c>
      <c r="K533" s="5">
        <v>15000</v>
      </c>
      <c r="L533" s="2" t="s">
        <v>35</v>
      </c>
      <c r="M533" s="2"/>
      <c r="N533" s="2" t="s">
        <v>37</v>
      </c>
    </row>
    <row r="534" spans="1:14" x14ac:dyDescent="0.25">
      <c r="A534" s="2" t="s">
        <v>980</v>
      </c>
      <c r="B534" s="2" t="s">
        <v>223</v>
      </c>
      <c r="C534" s="2" t="s">
        <v>224</v>
      </c>
      <c r="D534" s="4">
        <v>46170</v>
      </c>
      <c r="E534" s="2" t="s">
        <v>80</v>
      </c>
      <c r="F534" s="2" t="s">
        <v>59</v>
      </c>
      <c r="G534" s="2" t="s">
        <v>75</v>
      </c>
      <c r="H534" s="2" t="s">
        <v>47</v>
      </c>
      <c r="I534" s="2">
        <v>4</v>
      </c>
      <c r="J534" s="5"/>
      <c r="K534" s="5">
        <v>35000</v>
      </c>
      <c r="L534" s="2" t="s">
        <v>981</v>
      </c>
      <c r="M534" s="2" t="s">
        <v>71</v>
      </c>
      <c r="N534" s="2" t="s">
        <v>37</v>
      </c>
    </row>
    <row r="535" spans="1:14" x14ac:dyDescent="0.25">
      <c r="A535" s="2" t="s">
        <v>982</v>
      </c>
      <c r="B535" s="2" t="s">
        <v>327</v>
      </c>
      <c r="C535" s="2" t="s">
        <v>328</v>
      </c>
      <c r="D535" s="4">
        <v>46082</v>
      </c>
      <c r="E535" s="2" t="s">
        <v>53</v>
      </c>
      <c r="F535" s="2" t="s">
        <v>59</v>
      </c>
      <c r="G535" s="2" t="s">
        <v>46</v>
      </c>
      <c r="H535" s="2" t="s">
        <v>54</v>
      </c>
      <c r="I535" s="2">
        <v>4</v>
      </c>
      <c r="J535" s="5">
        <v>2246347</v>
      </c>
      <c r="K535" s="5">
        <v>0</v>
      </c>
      <c r="L535" s="2" t="s">
        <v>35</v>
      </c>
      <c r="M535" s="2" t="s">
        <v>67</v>
      </c>
      <c r="N535" s="2" t="s">
        <v>61</v>
      </c>
    </row>
    <row r="536" spans="1:14" x14ac:dyDescent="0.25">
      <c r="A536" s="2" t="s">
        <v>983</v>
      </c>
      <c r="B536" s="2" t="s">
        <v>492</v>
      </c>
      <c r="C536" s="2" t="s">
        <v>165</v>
      </c>
      <c r="D536" s="4">
        <v>46065</v>
      </c>
      <c r="E536" s="2" t="s">
        <v>53</v>
      </c>
      <c r="F536" s="2" t="s">
        <v>42</v>
      </c>
      <c r="G536" s="2" t="s">
        <v>85</v>
      </c>
      <c r="H536" s="2" t="s">
        <v>547</v>
      </c>
      <c r="I536" s="2">
        <v>6</v>
      </c>
      <c r="J536" s="5">
        <v>1380735</v>
      </c>
      <c r="K536" s="5">
        <v>50000</v>
      </c>
      <c r="L536" s="2" t="s">
        <v>245</v>
      </c>
      <c r="M536" s="2" t="s">
        <v>67</v>
      </c>
      <c r="N536" s="2" t="s">
        <v>61</v>
      </c>
    </row>
    <row r="537" spans="1:14" x14ac:dyDescent="0.25">
      <c r="A537" s="2" t="s">
        <v>984</v>
      </c>
      <c r="B537" s="2" t="s">
        <v>651</v>
      </c>
      <c r="C537" s="2" t="s">
        <v>70</v>
      </c>
      <c r="D537" s="4">
        <v>46102</v>
      </c>
      <c r="E537" s="2" t="s">
        <v>31</v>
      </c>
      <c r="F537" s="2" t="s">
        <v>42</v>
      </c>
      <c r="G537" s="2" t="s">
        <v>85</v>
      </c>
      <c r="H537" s="2" t="s">
        <v>66</v>
      </c>
      <c r="I537" s="2">
        <v>4</v>
      </c>
      <c r="J537" s="5">
        <v>713330</v>
      </c>
      <c r="K537" s="5">
        <v>25000</v>
      </c>
      <c r="L537" s="2" t="s">
        <v>35</v>
      </c>
      <c r="M537" s="2" t="s">
        <v>36</v>
      </c>
      <c r="N537" s="2" t="s">
        <v>37</v>
      </c>
    </row>
    <row r="538" spans="1:14" x14ac:dyDescent="0.25">
      <c r="A538" s="2" t="s">
        <v>985</v>
      </c>
      <c r="B538" s="2" t="s">
        <v>702</v>
      </c>
      <c r="C538" s="2" t="s">
        <v>101</v>
      </c>
      <c r="D538" s="4">
        <v>46070</v>
      </c>
      <c r="E538" s="2" t="s">
        <v>53</v>
      </c>
      <c r="F538" s="2" t="s">
        <v>32</v>
      </c>
      <c r="G538" s="2" t="s">
        <v>81</v>
      </c>
      <c r="H538" s="2" t="s">
        <v>47</v>
      </c>
      <c r="I538" s="2">
        <v>4</v>
      </c>
      <c r="J538" s="5">
        <v>1110625</v>
      </c>
      <c r="K538" s="5">
        <v>15000</v>
      </c>
      <c r="L538" s="2" t="s">
        <v>35</v>
      </c>
      <c r="M538" s="2" t="s">
        <v>67</v>
      </c>
      <c r="N538" s="2" t="s">
        <v>61</v>
      </c>
    </row>
    <row r="539" spans="1:14" x14ac:dyDescent="0.25">
      <c r="A539" s="2" t="s">
        <v>986</v>
      </c>
      <c r="B539" s="2" t="s">
        <v>987</v>
      </c>
      <c r="C539" s="2" t="s">
        <v>229</v>
      </c>
      <c r="D539" s="4">
        <v>46048</v>
      </c>
      <c r="E539" s="2" t="s">
        <v>41</v>
      </c>
      <c r="F539" s="2" t="s">
        <v>59</v>
      </c>
      <c r="G539" s="2" t="s">
        <v>60</v>
      </c>
      <c r="H539" s="2" t="s">
        <v>34</v>
      </c>
      <c r="I539" s="2">
        <v>6</v>
      </c>
      <c r="J539" s="5">
        <v>2094681</v>
      </c>
      <c r="K539" s="5">
        <v>50000</v>
      </c>
      <c r="L539" s="2" t="s">
        <v>35</v>
      </c>
      <c r="M539" s="2" t="s">
        <v>108</v>
      </c>
      <c r="N539" s="2" t="s">
        <v>61</v>
      </c>
    </row>
    <row r="540" spans="1:14" x14ac:dyDescent="0.25">
      <c r="A540" s="2" t="s">
        <v>988</v>
      </c>
      <c r="B540" s="2" t="s">
        <v>438</v>
      </c>
      <c r="C540" s="2" t="s">
        <v>244</v>
      </c>
      <c r="D540" s="4">
        <v>46055</v>
      </c>
      <c r="E540" s="2" t="s">
        <v>41</v>
      </c>
      <c r="F540" s="2" t="s">
        <v>59</v>
      </c>
      <c r="G540" s="2" t="s">
        <v>46</v>
      </c>
      <c r="H540" s="2" t="s">
        <v>54</v>
      </c>
      <c r="I540" s="2">
        <v>4</v>
      </c>
      <c r="J540" s="5">
        <v>1455284</v>
      </c>
      <c r="K540" s="5">
        <v>15000</v>
      </c>
      <c r="L540" s="2" t="s">
        <v>35</v>
      </c>
      <c r="M540" s="2" t="s">
        <v>71</v>
      </c>
      <c r="N540" s="2" t="s">
        <v>37</v>
      </c>
    </row>
    <row r="541" spans="1:14" x14ac:dyDescent="0.25">
      <c r="A541" s="2" t="s">
        <v>989</v>
      </c>
      <c r="B541" s="2" t="s">
        <v>807</v>
      </c>
      <c r="C541" s="2" t="s">
        <v>219</v>
      </c>
      <c r="D541" s="4">
        <v>46194</v>
      </c>
      <c r="E541" s="2" t="s">
        <v>80</v>
      </c>
      <c r="F541" s="2" t="s">
        <v>32</v>
      </c>
      <c r="G541" s="2" t="s">
        <v>46</v>
      </c>
      <c r="H541" s="2" t="s">
        <v>54</v>
      </c>
      <c r="I541" s="2">
        <v>5</v>
      </c>
      <c r="J541" s="5">
        <v>232811</v>
      </c>
      <c r="K541" s="5">
        <v>15000</v>
      </c>
      <c r="L541" s="2" t="s">
        <v>35</v>
      </c>
      <c r="M541" s="2" t="s">
        <v>67</v>
      </c>
      <c r="N541" s="2" t="s">
        <v>37</v>
      </c>
    </row>
    <row r="542" spans="1:14" x14ac:dyDescent="0.25">
      <c r="A542" s="2" t="s">
        <v>990</v>
      </c>
      <c r="B542" s="2" t="s">
        <v>688</v>
      </c>
      <c r="C542" s="2" t="s">
        <v>689</v>
      </c>
      <c r="D542" s="4">
        <v>46042</v>
      </c>
      <c r="E542" s="2" t="s">
        <v>41</v>
      </c>
      <c r="F542" s="2" t="s">
        <v>65</v>
      </c>
      <c r="G542" s="2" t="s">
        <v>991</v>
      </c>
      <c r="H542" s="2" t="s">
        <v>47</v>
      </c>
      <c r="I542" s="2">
        <v>4</v>
      </c>
      <c r="J542" s="5">
        <v>1084998</v>
      </c>
      <c r="K542" s="5">
        <v>15000</v>
      </c>
      <c r="L542" s="2" t="s">
        <v>35</v>
      </c>
      <c r="M542" s="2" t="s">
        <v>67</v>
      </c>
      <c r="N542" s="2" t="s">
        <v>61</v>
      </c>
    </row>
    <row r="543" spans="1:14" x14ac:dyDescent="0.25">
      <c r="A543" s="2" t="s">
        <v>992</v>
      </c>
      <c r="B543" s="2" t="s">
        <v>169</v>
      </c>
      <c r="C543" s="2" t="s">
        <v>170</v>
      </c>
      <c r="D543" s="4">
        <v>46061</v>
      </c>
      <c r="E543" s="2" t="s">
        <v>80</v>
      </c>
      <c r="F543" s="2" t="s">
        <v>59</v>
      </c>
      <c r="G543" s="2" t="s">
        <v>85</v>
      </c>
      <c r="H543" s="2" t="s">
        <v>34</v>
      </c>
      <c r="I543" s="2">
        <v>4</v>
      </c>
      <c r="J543" s="5">
        <v>1315226</v>
      </c>
      <c r="K543" s="5">
        <v>25000</v>
      </c>
      <c r="L543" s="2" t="s">
        <v>35</v>
      </c>
      <c r="M543" s="2" t="s">
        <v>36</v>
      </c>
      <c r="N543" s="2" t="s">
        <v>37</v>
      </c>
    </row>
    <row r="544" spans="1:14" x14ac:dyDescent="0.25">
      <c r="A544" s="2" t="s">
        <v>993</v>
      </c>
      <c r="B544" s="2" t="s">
        <v>441</v>
      </c>
      <c r="C544" s="2" t="s">
        <v>442</v>
      </c>
      <c r="D544" s="4">
        <v>46155</v>
      </c>
      <c r="E544" s="2" t="s">
        <v>58</v>
      </c>
      <c r="F544" s="2" t="s">
        <v>59</v>
      </c>
      <c r="G544" s="2" t="s">
        <v>81</v>
      </c>
      <c r="H544" s="2" t="s">
        <v>34</v>
      </c>
      <c r="I544" s="2">
        <v>7</v>
      </c>
      <c r="J544" s="5">
        <v>566402</v>
      </c>
      <c r="K544" s="5">
        <v>35000</v>
      </c>
      <c r="L544" s="2" t="s">
        <v>123</v>
      </c>
      <c r="M544" s="2" t="s">
        <v>36</v>
      </c>
      <c r="N544" s="2" t="s">
        <v>37</v>
      </c>
    </row>
    <row r="545" spans="1:14" x14ac:dyDescent="0.25">
      <c r="A545" s="2" t="s">
        <v>994</v>
      </c>
      <c r="B545" s="2" t="s">
        <v>39</v>
      </c>
      <c r="C545" s="2" t="s">
        <v>40</v>
      </c>
      <c r="D545" s="4">
        <v>46170</v>
      </c>
      <c r="E545" s="2" t="s">
        <v>41</v>
      </c>
      <c r="F545" s="2" t="s">
        <v>59</v>
      </c>
      <c r="G545" s="2" t="s">
        <v>81</v>
      </c>
      <c r="H545" s="2" t="s">
        <v>66</v>
      </c>
      <c r="I545" s="2">
        <v>6</v>
      </c>
      <c r="J545" s="5">
        <v>2246388</v>
      </c>
      <c r="K545" s="5">
        <v>35000</v>
      </c>
      <c r="L545" s="2" t="s">
        <v>35</v>
      </c>
      <c r="M545" s="2" t="s">
        <v>36</v>
      </c>
      <c r="N545" s="2" t="s">
        <v>37</v>
      </c>
    </row>
    <row r="546" spans="1:14" x14ac:dyDescent="0.25">
      <c r="A546" s="2" t="s">
        <v>995</v>
      </c>
      <c r="B546" s="2" t="s">
        <v>921</v>
      </c>
      <c r="C546" s="2" t="s">
        <v>200</v>
      </c>
      <c r="D546" s="4">
        <v>46185</v>
      </c>
      <c r="E546" s="2" t="s">
        <v>41</v>
      </c>
      <c r="F546" s="2" t="s">
        <v>32</v>
      </c>
      <c r="G546" s="2" t="s">
        <v>46</v>
      </c>
      <c r="H546" s="2" t="s">
        <v>639</v>
      </c>
      <c r="I546" s="2">
        <v>7</v>
      </c>
      <c r="J546" s="5">
        <v>606364</v>
      </c>
      <c r="K546" s="5">
        <v>50000</v>
      </c>
      <c r="L546" s="2" t="s">
        <v>48</v>
      </c>
      <c r="M546" s="2" t="s">
        <v>71</v>
      </c>
      <c r="N546" s="2" t="s">
        <v>61</v>
      </c>
    </row>
    <row r="547" spans="1:14" x14ac:dyDescent="0.25">
      <c r="A547" s="2" t="s">
        <v>996</v>
      </c>
      <c r="B547" s="2" t="s">
        <v>78</v>
      </c>
      <c r="C547" s="2" t="s">
        <v>79</v>
      </c>
      <c r="D547" s="4">
        <v>46068</v>
      </c>
      <c r="E547" s="2" t="s">
        <v>31</v>
      </c>
      <c r="F547" s="2" t="s">
        <v>65</v>
      </c>
      <c r="G547" s="2" t="s">
        <v>33</v>
      </c>
      <c r="H547" s="2" t="s">
        <v>76</v>
      </c>
      <c r="I547" s="2">
        <v>7</v>
      </c>
      <c r="J547" s="5">
        <v>1898658</v>
      </c>
      <c r="K547" s="5">
        <v>50000</v>
      </c>
      <c r="L547" s="2" t="s">
        <v>35</v>
      </c>
      <c r="M547" s="2" t="s">
        <v>36</v>
      </c>
      <c r="N547" s="2" t="s">
        <v>37</v>
      </c>
    </row>
    <row r="548" spans="1:14" x14ac:dyDescent="0.25">
      <c r="A548" s="2" t="s">
        <v>997</v>
      </c>
      <c r="B548" s="2" t="s">
        <v>770</v>
      </c>
      <c r="C548" s="2" t="s">
        <v>101</v>
      </c>
      <c r="D548" s="4">
        <v>46154</v>
      </c>
      <c r="E548" s="2" t="s">
        <v>41</v>
      </c>
      <c r="F548" s="2" t="s">
        <v>59</v>
      </c>
      <c r="G548" s="2" t="s">
        <v>33</v>
      </c>
      <c r="H548" s="2" t="s">
        <v>54</v>
      </c>
      <c r="I548" s="2">
        <v>1</v>
      </c>
      <c r="J548" s="5">
        <v>2028363</v>
      </c>
      <c r="K548" s="5">
        <v>35000</v>
      </c>
      <c r="L548" s="2" t="s">
        <v>35</v>
      </c>
      <c r="M548" s="2" t="s">
        <v>67</v>
      </c>
      <c r="N548" s="2" t="s">
        <v>37</v>
      </c>
    </row>
    <row r="549" spans="1:14" x14ac:dyDescent="0.25">
      <c r="A549" s="2" t="s">
        <v>998</v>
      </c>
      <c r="B549" s="2" t="s">
        <v>999</v>
      </c>
      <c r="C549" s="2" t="s">
        <v>129</v>
      </c>
      <c r="D549" s="4">
        <v>46131</v>
      </c>
      <c r="E549" s="2" t="s">
        <v>80</v>
      </c>
      <c r="F549" s="2" t="s">
        <v>59</v>
      </c>
      <c r="G549" s="2" t="s">
        <v>81</v>
      </c>
      <c r="H549" s="2" t="s">
        <v>47</v>
      </c>
      <c r="I549" s="2">
        <v>7</v>
      </c>
      <c r="J549" s="5">
        <v>1535417</v>
      </c>
      <c r="K549" s="5">
        <v>25000</v>
      </c>
      <c r="L549" s="2" t="s">
        <v>48</v>
      </c>
      <c r="M549" s="2" t="s">
        <v>36</v>
      </c>
      <c r="N549" s="2" t="s">
        <v>37</v>
      </c>
    </row>
    <row r="550" spans="1:14" x14ac:dyDescent="0.25">
      <c r="A550" s="2" t="s">
        <v>1000</v>
      </c>
      <c r="B550" s="2" t="s">
        <v>275</v>
      </c>
      <c r="C550" s="2" t="s">
        <v>276</v>
      </c>
      <c r="D550" s="4">
        <v>46185</v>
      </c>
      <c r="E550" s="2" t="s">
        <v>41</v>
      </c>
      <c r="F550" s="2" t="s">
        <v>42</v>
      </c>
      <c r="G550" s="2" t="s">
        <v>85</v>
      </c>
      <c r="H550" s="2" t="s">
        <v>54</v>
      </c>
      <c r="I550" s="2">
        <v>1</v>
      </c>
      <c r="J550" s="5">
        <v>269380</v>
      </c>
      <c r="K550" s="5">
        <v>50000</v>
      </c>
      <c r="L550" s="2" t="s">
        <v>35</v>
      </c>
      <c r="M550" s="2" t="s">
        <v>67</v>
      </c>
      <c r="N550" s="2" t="s">
        <v>61</v>
      </c>
    </row>
    <row r="551" spans="1:14" x14ac:dyDescent="0.25">
      <c r="A551" s="2" t="s">
        <v>1001</v>
      </c>
      <c r="B551" s="2" t="s">
        <v>39</v>
      </c>
      <c r="C551" s="2" t="s">
        <v>40</v>
      </c>
      <c r="D551" s="4">
        <v>46060</v>
      </c>
      <c r="E551" s="2" t="s">
        <v>53</v>
      </c>
      <c r="F551" s="2" t="s">
        <v>42</v>
      </c>
      <c r="G551" s="2" t="s">
        <v>75</v>
      </c>
      <c r="H551" s="2" t="s">
        <v>76</v>
      </c>
      <c r="I551" s="2">
        <v>3</v>
      </c>
      <c r="J551" s="5">
        <v>2189680</v>
      </c>
      <c r="K551" s="5">
        <v>35000</v>
      </c>
      <c r="L551" s="2" t="s">
        <v>35</v>
      </c>
      <c r="M551" s="2" t="s">
        <v>36</v>
      </c>
      <c r="N551" s="2" t="s">
        <v>37</v>
      </c>
    </row>
    <row r="552" spans="1:14" x14ac:dyDescent="0.25">
      <c r="A552" s="2" t="s">
        <v>1002</v>
      </c>
      <c r="B552" s="2" t="s">
        <v>327</v>
      </c>
      <c r="C552" s="2" t="s">
        <v>328</v>
      </c>
      <c r="D552" s="4">
        <v>46042</v>
      </c>
      <c r="E552" s="2" t="s">
        <v>58</v>
      </c>
      <c r="F552" s="2" t="s">
        <v>59</v>
      </c>
      <c r="G552" s="2" t="s">
        <v>447</v>
      </c>
      <c r="H552" s="2" t="s">
        <v>54</v>
      </c>
      <c r="I552" s="2">
        <v>1</v>
      </c>
      <c r="J552" s="5">
        <v>1489811</v>
      </c>
      <c r="K552" s="5">
        <v>25000</v>
      </c>
      <c r="L552" s="2" t="s">
        <v>35</v>
      </c>
      <c r="M552" s="2" t="s">
        <v>49</v>
      </c>
      <c r="N552" s="2" t="s">
        <v>37</v>
      </c>
    </row>
    <row r="553" spans="1:14" x14ac:dyDescent="0.25">
      <c r="A553" s="2" t="s">
        <v>1003</v>
      </c>
      <c r="B553" s="2" t="s">
        <v>29</v>
      </c>
      <c r="C553" s="2" t="s">
        <v>30</v>
      </c>
      <c r="D553" s="4">
        <v>46186</v>
      </c>
      <c r="E553" s="2" t="s">
        <v>80</v>
      </c>
      <c r="F553" s="2" t="s">
        <v>65</v>
      </c>
      <c r="G553" s="2" t="s">
        <v>60</v>
      </c>
      <c r="H553" s="2" t="s">
        <v>54</v>
      </c>
      <c r="I553" s="2">
        <v>4</v>
      </c>
      <c r="J553" s="5">
        <v>1386620</v>
      </c>
      <c r="K553" s="5">
        <v>35000</v>
      </c>
      <c r="L553" s="2" t="s">
        <v>35</v>
      </c>
      <c r="M553" s="2" t="s">
        <v>49</v>
      </c>
      <c r="N553" s="2" t="s">
        <v>61</v>
      </c>
    </row>
    <row r="554" spans="1:14" x14ac:dyDescent="0.25">
      <c r="A554" s="2" t="s">
        <v>1004</v>
      </c>
      <c r="B554" s="2" t="s">
        <v>665</v>
      </c>
      <c r="C554" s="2" t="s">
        <v>1005</v>
      </c>
      <c r="D554" s="4">
        <v>46089</v>
      </c>
      <c r="E554" s="2" t="s">
        <v>58</v>
      </c>
      <c r="F554" s="2" t="s">
        <v>32</v>
      </c>
      <c r="G554" s="2" t="s">
        <v>46</v>
      </c>
      <c r="H554" s="2" t="s">
        <v>47</v>
      </c>
      <c r="I554" s="2">
        <v>5</v>
      </c>
      <c r="J554" s="5">
        <v>1391718</v>
      </c>
      <c r="K554" s="5">
        <v>50000</v>
      </c>
      <c r="L554" s="2" t="s">
        <v>35</v>
      </c>
      <c r="M554" s="2" t="s">
        <v>71</v>
      </c>
      <c r="N554" s="2" t="s">
        <v>61</v>
      </c>
    </row>
    <row r="555" spans="1:14" x14ac:dyDescent="0.25">
      <c r="A555" s="2" t="s">
        <v>1006</v>
      </c>
      <c r="B555" s="2" t="s">
        <v>210</v>
      </c>
      <c r="C555" s="2" t="s">
        <v>45</v>
      </c>
      <c r="D555" s="4">
        <v>46134</v>
      </c>
      <c r="E555" s="2" t="s">
        <v>41</v>
      </c>
      <c r="F555" s="2" t="s">
        <v>42</v>
      </c>
      <c r="G555" s="2" t="s">
        <v>75</v>
      </c>
      <c r="H555" s="2" t="s">
        <v>66</v>
      </c>
      <c r="I555" s="2">
        <v>3</v>
      </c>
      <c r="J555" s="5">
        <v>1272539</v>
      </c>
      <c r="K555" s="5">
        <v>15000</v>
      </c>
      <c r="L555" s="2" t="s">
        <v>35</v>
      </c>
      <c r="M555" s="2" t="s">
        <v>67</v>
      </c>
      <c r="N555" s="2" t="s">
        <v>37</v>
      </c>
    </row>
    <row r="556" spans="1:14" x14ac:dyDescent="0.25">
      <c r="A556" s="2" t="s">
        <v>1007</v>
      </c>
      <c r="B556" s="2" t="s">
        <v>116</v>
      </c>
      <c r="C556" s="2" t="s">
        <v>74</v>
      </c>
      <c r="D556" s="4">
        <v>46127</v>
      </c>
      <c r="E556" s="2" t="s">
        <v>80</v>
      </c>
      <c r="F556" s="2" t="s">
        <v>159</v>
      </c>
      <c r="G556" s="2" t="s">
        <v>46</v>
      </c>
      <c r="H556" s="2" t="s">
        <v>66</v>
      </c>
      <c r="I556" s="2">
        <v>7</v>
      </c>
      <c r="J556" s="5">
        <v>988792</v>
      </c>
      <c r="K556" s="5">
        <v>0</v>
      </c>
      <c r="L556" s="2" t="s">
        <v>35</v>
      </c>
      <c r="M556" s="2" t="s">
        <v>67</v>
      </c>
      <c r="N556" s="2" t="s">
        <v>61</v>
      </c>
    </row>
    <row r="557" spans="1:14" x14ac:dyDescent="0.25">
      <c r="A557" s="2" t="s">
        <v>1008</v>
      </c>
      <c r="B557" s="2" t="s">
        <v>528</v>
      </c>
      <c r="C557" s="2" t="s">
        <v>170</v>
      </c>
      <c r="D557" s="4">
        <v>46080</v>
      </c>
      <c r="E557" s="2" t="s">
        <v>53</v>
      </c>
      <c r="F557" s="2" t="s">
        <v>59</v>
      </c>
      <c r="G557" s="2" t="s">
        <v>46</v>
      </c>
      <c r="H557" s="2" t="s">
        <v>47</v>
      </c>
      <c r="I557" s="2">
        <v>2</v>
      </c>
      <c r="J557" s="5">
        <v>195803</v>
      </c>
      <c r="K557" s="5">
        <v>25000</v>
      </c>
      <c r="L557" s="2" t="s">
        <v>35</v>
      </c>
      <c r="M557" s="2" t="s">
        <v>67</v>
      </c>
      <c r="N557" s="2" t="s">
        <v>37</v>
      </c>
    </row>
    <row r="558" spans="1:14" x14ac:dyDescent="0.25">
      <c r="A558" s="2" t="s">
        <v>1009</v>
      </c>
      <c r="B558" s="2" t="s">
        <v>87</v>
      </c>
      <c r="C558" s="2" t="s">
        <v>88</v>
      </c>
      <c r="D558" s="4">
        <v>46122</v>
      </c>
      <c r="E558" s="2" t="s">
        <v>41</v>
      </c>
      <c r="F558" s="2" t="s">
        <v>42</v>
      </c>
      <c r="G558" s="2" t="s">
        <v>60</v>
      </c>
      <c r="H558" s="2" t="s">
        <v>47</v>
      </c>
      <c r="I558" s="2">
        <v>1</v>
      </c>
      <c r="J558" s="5">
        <v>2114823</v>
      </c>
      <c r="K558" s="5">
        <v>50000</v>
      </c>
      <c r="L558" s="2" t="s">
        <v>35</v>
      </c>
      <c r="M558" s="2" t="s">
        <v>67</v>
      </c>
      <c r="N558" s="2" t="s">
        <v>61</v>
      </c>
    </row>
    <row r="559" spans="1:14" x14ac:dyDescent="0.25">
      <c r="A559" s="2" t="s">
        <v>1010</v>
      </c>
      <c r="B559" s="2" t="s">
        <v>157</v>
      </c>
      <c r="C559" s="2" t="s">
        <v>158</v>
      </c>
      <c r="D559" s="4">
        <v>46201</v>
      </c>
      <c r="E559" s="2" t="s">
        <v>53</v>
      </c>
      <c r="F559" s="2" t="s">
        <v>65</v>
      </c>
      <c r="G559" s="2" t="s">
        <v>75</v>
      </c>
      <c r="H559" s="2" t="s">
        <v>47</v>
      </c>
      <c r="I559" s="2">
        <v>3</v>
      </c>
      <c r="J559" s="5">
        <v>833087</v>
      </c>
      <c r="K559" s="5">
        <v>35000</v>
      </c>
      <c r="L559" s="2" t="s">
        <v>35</v>
      </c>
      <c r="M559" s="2" t="s">
        <v>36</v>
      </c>
      <c r="N559" s="2" t="s">
        <v>37</v>
      </c>
    </row>
    <row r="560" spans="1:14" x14ac:dyDescent="0.25">
      <c r="A560" s="2" t="s">
        <v>1011</v>
      </c>
      <c r="B560" s="2" t="s">
        <v>379</v>
      </c>
      <c r="C560" s="2" t="s">
        <v>158</v>
      </c>
      <c r="D560" s="4">
        <v>46076</v>
      </c>
      <c r="E560" s="2" t="s">
        <v>41</v>
      </c>
      <c r="F560" s="2" t="s">
        <v>65</v>
      </c>
      <c r="G560" s="2" t="s">
        <v>85</v>
      </c>
      <c r="H560" s="2" t="s">
        <v>76</v>
      </c>
      <c r="I560" s="2">
        <v>3</v>
      </c>
      <c r="J560" s="5">
        <v>2341268</v>
      </c>
      <c r="K560" s="5">
        <v>25000</v>
      </c>
      <c r="L560" s="2" t="s">
        <v>35</v>
      </c>
      <c r="M560" s="2" t="s">
        <v>67</v>
      </c>
      <c r="N560" s="2" t="s">
        <v>61</v>
      </c>
    </row>
    <row r="561" spans="1:14" x14ac:dyDescent="0.25">
      <c r="A561" s="2" t="s">
        <v>1012</v>
      </c>
      <c r="B561" s="2" t="s">
        <v>1013</v>
      </c>
      <c r="C561" s="2" t="s">
        <v>30</v>
      </c>
      <c r="D561" s="4">
        <v>46113</v>
      </c>
      <c r="E561" s="2" t="s">
        <v>53</v>
      </c>
      <c r="F561" s="2" t="s">
        <v>59</v>
      </c>
      <c r="G561" s="2" t="s">
        <v>85</v>
      </c>
      <c r="H561" s="2" t="s">
        <v>47</v>
      </c>
      <c r="I561" s="2">
        <v>4</v>
      </c>
      <c r="J561" s="5">
        <v>2489330</v>
      </c>
      <c r="K561" s="5">
        <v>35000</v>
      </c>
      <c r="L561" s="2" t="s">
        <v>89</v>
      </c>
      <c r="M561" s="2" t="s">
        <v>49</v>
      </c>
      <c r="N561" s="2" t="s">
        <v>61</v>
      </c>
    </row>
    <row r="562" spans="1:14" x14ac:dyDescent="0.25">
      <c r="A562" s="2" t="s">
        <v>1014</v>
      </c>
      <c r="B562" s="2" t="s">
        <v>567</v>
      </c>
      <c r="C562" s="2" t="s">
        <v>198</v>
      </c>
      <c r="D562" s="4">
        <v>46178</v>
      </c>
      <c r="E562" s="2" t="s">
        <v>53</v>
      </c>
      <c r="F562" s="2" t="s">
        <v>32</v>
      </c>
      <c r="G562" s="2" t="s">
        <v>85</v>
      </c>
      <c r="H562" s="2" t="s">
        <v>34</v>
      </c>
      <c r="I562" s="2">
        <v>4</v>
      </c>
      <c r="J562" s="5">
        <v>637971</v>
      </c>
      <c r="K562" s="5">
        <v>0</v>
      </c>
      <c r="L562" s="2" t="s">
        <v>35</v>
      </c>
      <c r="M562" s="2" t="s">
        <v>49</v>
      </c>
      <c r="N562" s="2" t="s">
        <v>37</v>
      </c>
    </row>
    <row r="563" spans="1:14" x14ac:dyDescent="0.25">
      <c r="A563" s="2" t="s">
        <v>1015</v>
      </c>
      <c r="B563" s="2" t="s">
        <v>1016</v>
      </c>
      <c r="C563" s="2" t="s">
        <v>377</v>
      </c>
      <c r="D563" s="4">
        <v>46127</v>
      </c>
      <c r="E563" s="2" t="s">
        <v>80</v>
      </c>
      <c r="F563" s="2" t="s">
        <v>65</v>
      </c>
      <c r="G563" s="2" t="s">
        <v>75</v>
      </c>
      <c r="H563" s="2" t="s">
        <v>66</v>
      </c>
      <c r="I563" s="2">
        <v>4</v>
      </c>
      <c r="J563" s="5">
        <v>1596498</v>
      </c>
      <c r="K563" s="5">
        <v>15000</v>
      </c>
      <c r="L563" s="2" t="s">
        <v>245</v>
      </c>
      <c r="M563" s="2" t="s">
        <v>67</v>
      </c>
      <c r="N563" s="2" t="s">
        <v>37</v>
      </c>
    </row>
    <row r="564" spans="1:14" x14ac:dyDescent="0.25">
      <c r="A564" s="2" t="s">
        <v>1017</v>
      </c>
      <c r="B564" s="2" t="s">
        <v>685</v>
      </c>
      <c r="C564" s="2" t="s">
        <v>1018</v>
      </c>
      <c r="D564" s="4">
        <v>46126</v>
      </c>
      <c r="E564" s="2" t="s">
        <v>31</v>
      </c>
      <c r="F564" s="2" t="s">
        <v>59</v>
      </c>
      <c r="G564" s="2" t="s">
        <v>33</v>
      </c>
      <c r="H564" s="2" t="s">
        <v>54</v>
      </c>
      <c r="I564" s="2">
        <v>3</v>
      </c>
      <c r="J564" s="5">
        <v>2195480</v>
      </c>
      <c r="K564" s="5">
        <v>35000</v>
      </c>
      <c r="L564" s="2" t="s">
        <v>48</v>
      </c>
      <c r="M564" s="2" t="s">
        <v>49</v>
      </c>
      <c r="N564" s="2" t="s">
        <v>37</v>
      </c>
    </row>
    <row r="565" spans="1:14" x14ac:dyDescent="0.25">
      <c r="A565" s="2" t="s">
        <v>1019</v>
      </c>
      <c r="B565" s="2" t="s">
        <v>1020</v>
      </c>
      <c r="C565" s="2" t="s">
        <v>377</v>
      </c>
      <c r="D565" s="2" t="s">
        <v>1021</v>
      </c>
      <c r="E565" s="2" t="s">
        <v>41</v>
      </c>
      <c r="F565" s="2" t="s">
        <v>59</v>
      </c>
      <c r="G565" s="2" t="s">
        <v>85</v>
      </c>
      <c r="H565" s="2" t="s">
        <v>54</v>
      </c>
      <c r="I565" s="2">
        <v>4</v>
      </c>
      <c r="J565" s="5">
        <v>842555</v>
      </c>
      <c r="K565" s="5">
        <v>0</v>
      </c>
      <c r="L565" s="2" t="s">
        <v>35</v>
      </c>
      <c r="M565" s="2" t="s">
        <v>36</v>
      </c>
      <c r="N565" s="2" t="s">
        <v>61</v>
      </c>
    </row>
    <row r="566" spans="1:14" x14ac:dyDescent="0.25">
      <c r="A566" s="2" t="s">
        <v>1022</v>
      </c>
      <c r="B566" s="2" t="s">
        <v>376</v>
      </c>
      <c r="C566" s="2" t="s">
        <v>377</v>
      </c>
      <c r="D566" s="4">
        <v>46179</v>
      </c>
      <c r="E566" s="2" t="s">
        <v>58</v>
      </c>
      <c r="F566" s="2" t="s">
        <v>32</v>
      </c>
      <c r="G566" s="2" t="s">
        <v>46</v>
      </c>
      <c r="H566" s="2" t="s">
        <v>34</v>
      </c>
      <c r="I566" s="2">
        <v>5</v>
      </c>
      <c r="J566" s="5">
        <v>2231250</v>
      </c>
      <c r="K566" s="5">
        <v>0</v>
      </c>
      <c r="L566" s="2" t="s">
        <v>35</v>
      </c>
      <c r="M566" s="2" t="s">
        <v>36</v>
      </c>
      <c r="N566" s="2" t="s">
        <v>61</v>
      </c>
    </row>
    <row r="567" spans="1:14" x14ac:dyDescent="0.25">
      <c r="A567" s="2" t="s">
        <v>1023</v>
      </c>
      <c r="B567" s="2" t="s">
        <v>413</v>
      </c>
      <c r="C567" s="2" t="s">
        <v>122</v>
      </c>
      <c r="D567" s="4">
        <v>46183</v>
      </c>
      <c r="E567" s="2" t="s">
        <v>41</v>
      </c>
      <c r="F567" s="2" t="s">
        <v>42</v>
      </c>
      <c r="G567" s="2" t="s">
        <v>85</v>
      </c>
      <c r="H567" s="2" t="s">
        <v>47</v>
      </c>
      <c r="I567" s="2">
        <v>3</v>
      </c>
      <c r="J567" s="5">
        <v>2099348</v>
      </c>
      <c r="K567" s="5">
        <v>0</v>
      </c>
      <c r="L567" s="2" t="s">
        <v>35</v>
      </c>
      <c r="M567" s="2" t="s">
        <v>36</v>
      </c>
      <c r="N567" s="2" t="s">
        <v>37</v>
      </c>
    </row>
    <row r="568" spans="1:14" x14ac:dyDescent="0.25">
      <c r="A568" s="2" t="s">
        <v>1024</v>
      </c>
      <c r="B568" s="2" t="s">
        <v>182</v>
      </c>
      <c r="C568" s="2" t="s">
        <v>200</v>
      </c>
      <c r="D568" s="4">
        <v>46084</v>
      </c>
      <c r="E568" s="2" t="s">
        <v>80</v>
      </c>
      <c r="F568" s="2" t="s">
        <v>65</v>
      </c>
      <c r="G568" s="2" t="s">
        <v>81</v>
      </c>
      <c r="H568" s="2" t="s">
        <v>34</v>
      </c>
      <c r="I568" s="2">
        <v>6</v>
      </c>
      <c r="J568" s="5">
        <v>854888</v>
      </c>
      <c r="K568" s="5">
        <v>35000</v>
      </c>
      <c r="L568" s="2" t="s">
        <v>245</v>
      </c>
      <c r="M568" s="2" t="s">
        <v>67</v>
      </c>
      <c r="N568" s="2" t="s">
        <v>37</v>
      </c>
    </row>
    <row r="569" spans="1:14" x14ac:dyDescent="0.25">
      <c r="A569" s="2" t="s">
        <v>1025</v>
      </c>
      <c r="B569" s="2" t="s">
        <v>1026</v>
      </c>
      <c r="C569" s="2" t="s">
        <v>642</v>
      </c>
      <c r="D569" s="4">
        <v>46085</v>
      </c>
      <c r="E569" s="2" t="s">
        <v>58</v>
      </c>
      <c r="F569" s="2" t="s">
        <v>32</v>
      </c>
      <c r="G569" s="2" t="s">
        <v>85</v>
      </c>
      <c r="H569" s="2" t="s">
        <v>34</v>
      </c>
      <c r="I569" s="2">
        <v>7</v>
      </c>
      <c r="J569" s="5">
        <v>1980816</v>
      </c>
      <c r="K569" s="5">
        <v>15000</v>
      </c>
      <c r="L569" s="2" t="s">
        <v>35</v>
      </c>
      <c r="M569" s="2" t="s">
        <v>36</v>
      </c>
      <c r="N569" s="2" t="s">
        <v>37</v>
      </c>
    </row>
    <row r="570" spans="1:14" x14ac:dyDescent="0.25">
      <c r="A570" s="2" t="s">
        <v>1027</v>
      </c>
      <c r="B570" s="2" t="s">
        <v>498</v>
      </c>
      <c r="C570" s="2" t="s">
        <v>388</v>
      </c>
      <c r="D570" s="4">
        <v>46040</v>
      </c>
      <c r="E570" s="2" t="s">
        <v>41</v>
      </c>
      <c r="F570" s="2" t="s">
        <v>59</v>
      </c>
      <c r="G570" s="2" t="s">
        <v>81</v>
      </c>
      <c r="H570" s="2" t="s">
        <v>47</v>
      </c>
      <c r="I570" s="2">
        <v>6</v>
      </c>
      <c r="J570" s="5">
        <v>148870</v>
      </c>
      <c r="K570" s="5">
        <v>0</v>
      </c>
      <c r="L570" s="2" t="s">
        <v>35</v>
      </c>
      <c r="M570" s="2" t="s">
        <v>71</v>
      </c>
      <c r="N570" s="2" t="s">
        <v>37</v>
      </c>
    </row>
    <row r="571" spans="1:14" x14ac:dyDescent="0.25">
      <c r="A571" s="2" t="s">
        <v>1028</v>
      </c>
      <c r="B571" s="2" t="s">
        <v>430</v>
      </c>
      <c r="C571" s="2" t="s">
        <v>45</v>
      </c>
      <c r="D571" s="4">
        <v>46160</v>
      </c>
      <c r="E571" s="2" t="s">
        <v>58</v>
      </c>
      <c r="F571" s="2" t="s">
        <v>32</v>
      </c>
      <c r="G571" s="2" t="s">
        <v>60</v>
      </c>
      <c r="H571" s="2" t="s">
        <v>54</v>
      </c>
      <c r="I571" s="2">
        <v>6</v>
      </c>
      <c r="J571" s="5">
        <v>627435</v>
      </c>
      <c r="K571" s="5">
        <v>50000</v>
      </c>
      <c r="L571" s="2" t="s">
        <v>89</v>
      </c>
      <c r="M571" s="2" t="s">
        <v>71</v>
      </c>
      <c r="N571" s="2" t="s">
        <v>37</v>
      </c>
    </row>
    <row r="572" spans="1:14" x14ac:dyDescent="0.25">
      <c r="A572" s="2" t="s">
        <v>1029</v>
      </c>
      <c r="B572" s="2" t="s">
        <v>573</v>
      </c>
      <c r="C572" s="2" t="s">
        <v>195</v>
      </c>
      <c r="D572" s="4">
        <v>46153</v>
      </c>
      <c r="E572" s="2" t="s">
        <v>80</v>
      </c>
      <c r="F572" s="2" t="s">
        <v>65</v>
      </c>
      <c r="G572" s="2" t="s">
        <v>75</v>
      </c>
      <c r="H572" s="2" t="s">
        <v>34</v>
      </c>
      <c r="I572" s="2">
        <v>7</v>
      </c>
      <c r="J572" s="5" t="s">
        <v>1030</v>
      </c>
      <c r="K572" s="5">
        <v>35000</v>
      </c>
      <c r="L572" s="2" t="s">
        <v>35</v>
      </c>
      <c r="M572" s="2" t="s">
        <v>67</v>
      </c>
      <c r="N572" s="2" t="s">
        <v>37</v>
      </c>
    </row>
    <row r="573" spans="1:14" x14ac:dyDescent="0.25">
      <c r="A573" s="2" t="s">
        <v>1031</v>
      </c>
      <c r="B573" s="2" t="s">
        <v>100</v>
      </c>
      <c r="C573" s="2" t="s">
        <v>101</v>
      </c>
      <c r="D573" s="4">
        <v>46191</v>
      </c>
      <c r="E573" s="2" t="s">
        <v>58</v>
      </c>
      <c r="F573" s="2" t="s">
        <v>59</v>
      </c>
      <c r="G573" s="2" t="s">
        <v>75</v>
      </c>
      <c r="H573" s="2" t="s">
        <v>47</v>
      </c>
      <c r="I573" s="2">
        <v>2</v>
      </c>
      <c r="J573" s="5">
        <v>1545369</v>
      </c>
      <c r="K573" s="5">
        <v>15000</v>
      </c>
      <c r="L573" s="2" t="s">
        <v>48</v>
      </c>
      <c r="M573" s="2" t="s">
        <v>36</v>
      </c>
      <c r="N573" s="2" t="s">
        <v>61</v>
      </c>
    </row>
    <row r="574" spans="1:14" x14ac:dyDescent="0.25">
      <c r="A574" s="2" t="s">
        <v>1032</v>
      </c>
      <c r="B574" s="2" t="s">
        <v>903</v>
      </c>
      <c r="C574" s="2" t="s">
        <v>173</v>
      </c>
      <c r="D574" s="4">
        <v>46089</v>
      </c>
      <c r="E574" s="2" t="s">
        <v>80</v>
      </c>
      <c r="F574" s="2" t="s">
        <v>32</v>
      </c>
      <c r="G574" s="2" t="s">
        <v>46</v>
      </c>
      <c r="H574" s="2" t="s">
        <v>54</v>
      </c>
      <c r="I574" s="2">
        <v>6</v>
      </c>
      <c r="J574" s="5">
        <v>1556309</v>
      </c>
      <c r="K574" s="5">
        <v>25000</v>
      </c>
      <c r="L574" s="2" t="s">
        <v>35</v>
      </c>
      <c r="M574" s="2" t="s">
        <v>71</v>
      </c>
      <c r="N574" s="2" t="s">
        <v>61</v>
      </c>
    </row>
    <row r="575" spans="1:14" x14ac:dyDescent="0.25">
      <c r="A575" s="2" t="s">
        <v>1033</v>
      </c>
      <c r="B575" s="2" t="s">
        <v>128</v>
      </c>
      <c r="C575" s="2" t="s">
        <v>129</v>
      </c>
      <c r="D575" s="4">
        <v>46156</v>
      </c>
      <c r="E575" s="2" t="s">
        <v>431</v>
      </c>
      <c r="F575" s="2" t="s">
        <v>42</v>
      </c>
      <c r="G575" s="2" t="s">
        <v>46</v>
      </c>
      <c r="H575" s="2" t="s">
        <v>66</v>
      </c>
      <c r="I575" s="2">
        <v>2</v>
      </c>
      <c r="J575" s="5">
        <v>1329764</v>
      </c>
      <c r="K575" s="5">
        <v>0</v>
      </c>
      <c r="L575" s="2" t="s">
        <v>48</v>
      </c>
      <c r="M575" s="2" t="s">
        <v>49</v>
      </c>
      <c r="N575" s="2" t="s">
        <v>37</v>
      </c>
    </row>
    <row r="576" spans="1:14" x14ac:dyDescent="0.25">
      <c r="A576" s="2" t="s">
        <v>1034</v>
      </c>
      <c r="B576" s="2" t="s">
        <v>530</v>
      </c>
      <c r="C576" s="2" t="s">
        <v>382</v>
      </c>
      <c r="D576" s="4">
        <v>46135</v>
      </c>
      <c r="E576" s="2" t="s">
        <v>41</v>
      </c>
      <c r="F576" s="2" t="s">
        <v>32</v>
      </c>
      <c r="G576" s="2" t="s">
        <v>75</v>
      </c>
      <c r="H576" s="2" t="s">
        <v>34</v>
      </c>
      <c r="I576" s="2">
        <v>6</v>
      </c>
      <c r="J576" s="5">
        <v>1356814</v>
      </c>
      <c r="K576" s="5">
        <v>15000</v>
      </c>
      <c r="L576" s="2" t="s">
        <v>48</v>
      </c>
      <c r="M576" s="2" t="s">
        <v>71</v>
      </c>
      <c r="N576" s="2" t="s">
        <v>61</v>
      </c>
    </row>
    <row r="577" spans="1:14" x14ac:dyDescent="0.25">
      <c r="A577" s="2" t="s">
        <v>1035</v>
      </c>
      <c r="B577" s="2" t="s">
        <v>532</v>
      </c>
      <c r="C577" s="2" t="s">
        <v>98</v>
      </c>
      <c r="D577" s="4">
        <v>46077</v>
      </c>
      <c r="E577" s="2" t="s">
        <v>53</v>
      </c>
      <c r="F577" s="2" t="s">
        <v>59</v>
      </c>
      <c r="G577" s="2" t="s">
        <v>60</v>
      </c>
      <c r="H577" s="2" t="s">
        <v>76</v>
      </c>
      <c r="I577" s="2">
        <v>5</v>
      </c>
      <c r="J577" s="5">
        <v>1390691</v>
      </c>
      <c r="K577" s="5">
        <v>15000</v>
      </c>
      <c r="L577" s="2" t="s">
        <v>35</v>
      </c>
      <c r="M577" s="2" t="s">
        <v>36</v>
      </c>
      <c r="N577" s="2" t="s">
        <v>61</v>
      </c>
    </row>
    <row r="578" spans="1:14" x14ac:dyDescent="0.25">
      <c r="A578" s="2" t="s">
        <v>1036</v>
      </c>
      <c r="B578" s="2" t="s">
        <v>987</v>
      </c>
      <c r="C578" s="2" t="s">
        <v>229</v>
      </c>
      <c r="D578" s="4">
        <v>46187</v>
      </c>
      <c r="E578" s="2" t="s">
        <v>41</v>
      </c>
      <c r="F578" s="2" t="s">
        <v>59</v>
      </c>
      <c r="G578" s="2" t="s">
        <v>75</v>
      </c>
      <c r="H578" s="2" t="s">
        <v>34</v>
      </c>
      <c r="I578" s="2">
        <v>7</v>
      </c>
      <c r="J578" s="5">
        <v>773794</v>
      </c>
      <c r="K578" s="5">
        <v>50000</v>
      </c>
      <c r="L578" s="2" t="s">
        <v>35</v>
      </c>
      <c r="M578" s="2" t="s">
        <v>36</v>
      </c>
      <c r="N578" s="2" t="s">
        <v>37</v>
      </c>
    </row>
    <row r="579" spans="1:14" x14ac:dyDescent="0.25">
      <c r="A579" s="2" t="s">
        <v>1037</v>
      </c>
      <c r="B579" s="2" t="s">
        <v>364</v>
      </c>
      <c r="C579" s="2" t="s">
        <v>70</v>
      </c>
      <c r="D579" s="4">
        <v>46146</v>
      </c>
      <c r="E579" s="2" t="s">
        <v>80</v>
      </c>
      <c r="F579" s="2" t="s">
        <v>42</v>
      </c>
      <c r="G579" s="2" t="s">
        <v>85</v>
      </c>
      <c r="H579" s="2" t="s">
        <v>34</v>
      </c>
      <c r="I579" s="2">
        <v>6</v>
      </c>
      <c r="J579" s="5">
        <v>1713300</v>
      </c>
      <c r="K579" s="5">
        <v>0</v>
      </c>
      <c r="L579" s="2" t="s">
        <v>245</v>
      </c>
      <c r="M579" s="2" t="s">
        <v>67</v>
      </c>
      <c r="N579" s="2" t="s">
        <v>37</v>
      </c>
    </row>
    <row r="580" spans="1:14" x14ac:dyDescent="0.25">
      <c r="A580" s="2" t="s">
        <v>1038</v>
      </c>
      <c r="B580" s="2" t="s">
        <v>575</v>
      </c>
      <c r="C580" s="2" t="s">
        <v>576</v>
      </c>
      <c r="D580" s="4">
        <v>46053</v>
      </c>
      <c r="E580" s="2" t="s">
        <v>58</v>
      </c>
      <c r="F580" s="2" t="s">
        <v>42</v>
      </c>
      <c r="G580" s="2" t="s">
        <v>75</v>
      </c>
      <c r="H580" s="2" t="s">
        <v>34</v>
      </c>
      <c r="I580" s="2">
        <v>4</v>
      </c>
      <c r="J580" s="5">
        <v>946035</v>
      </c>
      <c r="K580" s="5">
        <v>25000</v>
      </c>
      <c r="L580" s="2" t="s">
        <v>35</v>
      </c>
      <c r="M580" s="2" t="s">
        <v>71</v>
      </c>
      <c r="N580" s="2" t="s">
        <v>37</v>
      </c>
    </row>
    <row r="581" spans="1:14" x14ac:dyDescent="0.25">
      <c r="A581" s="2" t="s">
        <v>1039</v>
      </c>
      <c r="B581" s="2" t="s">
        <v>396</v>
      </c>
      <c r="C581" s="2" t="s">
        <v>241</v>
      </c>
      <c r="D581" s="4">
        <v>46031</v>
      </c>
      <c r="E581" s="2" t="s">
        <v>53</v>
      </c>
      <c r="F581" s="2" t="s">
        <v>65</v>
      </c>
      <c r="G581" s="2" t="s">
        <v>81</v>
      </c>
      <c r="H581" s="2" t="s">
        <v>47</v>
      </c>
      <c r="I581" s="2">
        <v>3</v>
      </c>
      <c r="J581" s="5">
        <v>1791393</v>
      </c>
      <c r="K581" s="5">
        <v>0</v>
      </c>
      <c r="L581" s="2" t="s">
        <v>35</v>
      </c>
      <c r="M581" s="2" t="s">
        <v>67</v>
      </c>
      <c r="N581" s="2" t="s">
        <v>61</v>
      </c>
    </row>
    <row r="582" spans="1:14" x14ac:dyDescent="0.25">
      <c r="A582" s="2" t="s">
        <v>1040</v>
      </c>
      <c r="B582" s="2" t="s">
        <v>699</v>
      </c>
      <c r="C582" s="2" t="s">
        <v>104</v>
      </c>
      <c r="D582" s="2"/>
      <c r="E582" s="2" t="s">
        <v>58</v>
      </c>
      <c r="F582" s="2" t="s">
        <v>32</v>
      </c>
      <c r="G582" s="2" t="s">
        <v>46</v>
      </c>
      <c r="H582" s="2" t="s">
        <v>66</v>
      </c>
      <c r="I582" s="2">
        <v>2</v>
      </c>
      <c r="J582" s="5">
        <v>886234</v>
      </c>
      <c r="K582" s="5">
        <v>15000</v>
      </c>
      <c r="L582" s="2" t="s">
        <v>35</v>
      </c>
      <c r="M582" s="2" t="s">
        <v>338</v>
      </c>
      <c r="N582" s="2" t="s">
        <v>61</v>
      </c>
    </row>
    <row r="583" spans="1:14" x14ac:dyDescent="0.25">
      <c r="A583" s="2" t="s">
        <v>1041</v>
      </c>
      <c r="B583" s="2" t="s">
        <v>167</v>
      </c>
      <c r="C583" s="2" t="s">
        <v>84</v>
      </c>
      <c r="D583" s="4">
        <v>46071</v>
      </c>
      <c r="E583" s="2" t="s">
        <v>31</v>
      </c>
      <c r="F583" s="2" t="s">
        <v>59</v>
      </c>
      <c r="G583" s="2" t="s">
        <v>60</v>
      </c>
      <c r="H583" s="2" t="s">
        <v>54</v>
      </c>
      <c r="I583" s="2">
        <v>5</v>
      </c>
      <c r="J583" s="5">
        <v>387046</v>
      </c>
      <c r="K583" s="5">
        <v>15000</v>
      </c>
      <c r="L583" s="2" t="s">
        <v>35</v>
      </c>
      <c r="M583" s="2" t="s">
        <v>67</v>
      </c>
      <c r="N583" s="2" t="s">
        <v>61</v>
      </c>
    </row>
    <row r="584" spans="1:14" x14ac:dyDescent="0.25">
      <c r="A584" s="2" t="s">
        <v>1042</v>
      </c>
      <c r="B584" s="2" t="s">
        <v>110</v>
      </c>
      <c r="C584" s="2" t="s">
        <v>111</v>
      </c>
      <c r="D584" s="4">
        <v>46185</v>
      </c>
      <c r="E584" s="2" t="s">
        <v>31</v>
      </c>
      <c r="F584" s="2" t="s">
        <v>65</v>
      </c>
      <c r="G584" s="2" t="s">
        <v>46</v>
      </c>
      <c r="H584" s="2" t="s">
        <v>76</v>
      </c>
      <c r="I584" s="2">
        <v>4</v>
      </c>
      <c r="J584" s="5">
        <v>426412</v>
      </c>
      <c r="K584" s="5">
        <v>15000</v>
      </c>
      <c r="L584" s="2" t="s">
        <v>35</v>
      </c>
      <c r="M584" s="2" t="s">
        <v>67</v>
      </c>
      <c r="N584" s="2" t="s">
        <v>61</v>
      </c>
    </row>
    <row r="585" spans="1:14" x14ac:dyDescent="0.25">
      <c r="A585" s="2" t="s">
        <v>1043</v>
      </c>
      <c r="B585" s="2" t="s">
        <v>154</v>
      </c>
      <c r="C585" s="2" t="s">
        <v>84</v>
      </c>
      <c r="D585" s="4">
        <v>46147</v>
      </c>
      <c r="E585" s="2" t="s">
        <v>58</v>
      </c>
      <c r="F585" s="2" t="s">
        <v>59</v>
      </c>
      <c r="G585" s="2" t="s">
        <v>75</v>
      </c>
      <c r="H585" s="2" t="s">
        <v>34</v>
      </c>
      <c r="I585" s="2">
        <v>1</v>
      </c>
      <c r="J585" s="5">
        <v>1378127</v>
      </c>
      <c r="K585" s="5">
        <v>50000</v>
      </c>
      <c r="L585" s="2" t="s">
        <v>35</v>
      </c>
      <c r="M585" s="2" t="s">
        <v>71</v>
      </c>
      <c r="N585" s="2" t="s">
        <v>37</v>
      </c>
    </row>
    <row r="586" spans="1:14" x14ac:dyDescent="0.25">
      <c r="A586" s="2" t="s">
        <v>1044</v>
      </c>
      <c r="B586" s="2" t="s">
        <v>571</v>
      </c>
      <c r="C586" s="2" t="s">
        <v>248</v>
      </c>
      <c r="D586" s="4">
        <v>46087</v>
      </c>
      <c r="E586" s="2" t="s">
        <v>53</v>
      </c>
      <c r="F586" s="2" t="s">
        <v>59</v>
      </c>
      <c r="G586" s="2" t="s">
        <v>46</v>
      </c>
      <c r="H586" s="2" t="s">
        <v>66</v>
      </c>
      <c r="I586" s="2">
        <v>3</v>
      </c>
      <c r="J586" s="5">
        <v>1827790</v>
      </c>
      <c r="K586" s="5">
        <v>50000</v>
      </c>
      <c r="L586" s="2" t="s">
        <v>35</v>
      </c>
      <c r="M586" s="2" t="s">
        <v>67</v>
      </c>
      <c r="N586" s="2" t="s">
        <v>37</v>
      </c>
    </row>
    <row r="587" spans="1:14" x14ac:dyDescent="0.25">
      <c r="A587" s="2" t="s">
        <v>1045</v>
      </c>
      <c r="B587" s="2" t="s">
        <v>143</v>
      </c>
      <c r="C587" s="2" t="s">
        <v>144</v>
      </c>
      <c r="D587" s="4">
        <v>46159</v>
      </c>
      <c r="E587" s="2" t="s">
        <v>41</v>
      </c>
      <c r="F587" s="2" t="s">
        <v>65</v>
      </c>
      <c r="G587" s="2" t="s">
        <v>85</v>
      </c>
      <c r="H587" s="2" t="s">
        <v>47</v>
      </c>
      <c r="I587" s="2"/>
      <c r="J587" s="5">
        <v>1164473</v>
      </c>
      <c r="K587" s="5">
        <v>25000</v>
      </c>
      <c r="L587" s="2" t="s">
        <v>123</v>
      </c>
      <c r="M587" s="2" t="s">
        <v>36</v>
      </c>
      <c r="N587" s="2" t="s">
        <v>61</v>
      </c>
    </row>
    <row r="588" spans="1:14" x14ac:dyDescent="0.25">
      <c r="A588" s="2" t="s">
        <v>1046</v>
      </c>
      <c r="B588" s="2" t="s">
        <v>110</v>
      </c>
      <c r="C588" s="2" t="s">
        <v>111</v>
      </c>
      <c r="D588" s="4">
        <v>46153</v>
      </c>
      <c r="E588" s="2" t="s">
        <v>80</v>
      </c>
      <c r="F588" s="2" t="s">
        <v>65</v>
      </c>
      <c r="G588" s="2" t="s">
        <v>60</v>
      </c>
      <c r="H588" s="2" t="s">
        <v>66</v>
      </c>
      <c r="I588" s="2">
        <v>2</v>
      </c>
      <c r="J588" s="5">
        <v>2093446</v>
      </c>
      <c r="K588" s="5">
        <v>35000</v>
      </c>
      <c r="L588" s="2" t="s">
        <v>35</v>
      </c>
      <c r="M588" s="2" t="s">
        <v>36</v>
      </c>
      <c r="N588" s="2" t="s">
        <v>61</v>
      </c>
    </row>
    <row r="589" spans="1:14" x14ac:dyDescent="0.25">
      <c r="A589" s="2" t="s">
        <v>1047</v>
      </c>
      <c r="B589" s="2" t="s">
        <v>1048</v>
      </c>
      <c r="C589" s="2" t="s">
        <v>253</v>
      </c>
      <c r="D589" s="4">
        <v>46050</v>
      </c>
      <c r="E589" s="2" t="s">
        <v>53</v>
      </c>
      <c r="F589" s="2" t="s">
        <v>59</v>
      </c>
      <c r="G589" s="2" t="s">
        <v>81</v>
      </c>
      <c r="H589" s="2" t="s">
        <v>639</v>
      </c>
      <c r="I589" s="2">
        <v>3</v>
      </c>
      <c r="J589" s="5">
        <v>1092251</v>
      </c>
      <c r="K589" s="5">
        <v>15000</v>
      </c>
      <c r="L589" s="2" t="s">
        <v>35</v>
      </c>
      <c r="M589" s="2" t="s">
        <v>67</v>
      </c>
      <c r="N589" s="2" t="s">
        <v>61</v>
      </c>
    </row>
    <row r="590" spans="1:14" x14ac:dyDescent="0.25">
      <c r="A590" s="2" t="s">
        <v>1049</v>
      </c>
      <c r="B590" s="2" t="s">
        <v>665</v>
      </c>
      <c r="C590" s="2" t="s">
        <v>442</v>
      </c>
      <c r="D590" s="4">
        <v>46195</v>
      </c>
      <c r="E590" s="2" t="s">
        <v>31</v>
      </c>
      <c r="F590" s="2" t="s">
        <v>42</v>
      </c>
      <c r="G590" s="2" t="s">
        <v>46</v>
      </c>
      <c r="H590" s="2" t="s">
        <v>34</v>
      </c>
      <c r="I590" s="2">
        <v>2</v>
      </c>
      <c r="J590" s="5">
        <v>768429</v>
      </c>
      <c r="K590" s="5">
        <v>25000</v>
      </c>
      <c r="L590" s="2" t="s">
        <v>35</v>
      </c>
      <c r="M590" s="2" t="s">
        <v>319</v>
      </c>
      <c r="N590" s="2" t="s">
        <v>37</v>
      </c>
    </row>
    <row r="591" spans="1:14" x14ac:dyDescent="0.25">
      <c r="A591" s="2" t="s">
        <v>1050</v>
      </c>
      <c r="B591" s="2" t="s">
        <v>913</v>
      </c>
      <c r="C591" s="2" t="s">
        <v>309</v>
      </c>
      <c r="D591" s="2" t="s">
        <v>1051</v>
      </c>
      <c r="E591" s="2" t="s">
        <v>80</v>
      </c>
      <c r="F591" s="2" t="s">
        <v>32</v>
      </c>
      <c r="G591" s="2" t="s">
        <v>85</v>
      </c>
      <c r="H591" s="2" t="s">
        <v>66</v>
      </c>
      <c r="I591" s="2">
        <v>2</v>
      </c>
      <c r="J591" s="5">
        <v>1868643</v>
      </c>
      <c r="K591" s="5">
        <v>25000</v>
      </c>
      <c r="L591" s="2" t="s">
        <v>245</v>
      </c>
      <c r="M591" s="2" t="s">
        <v>36</v>
      </c>
      <c r="N591" s="2" t="s">
        <v>37</v>
      </c>
    </row>
    <row r="592" spans="1:14" x14ac:dyDescent="0.25">
      <c r="A592" s="2" t="s">
        <v>1052</v>
      </c>
      <c r="B592" s="2" t="s">
        <v>132</v>
      </c>
      <c r="C592" s="2" t="s">
        <v>133</v>
      </c>
      <c r="D592" s="4">
        <v>46113</v>
      </c>
      <c r="E592" s="2" t="s">
        <v>41</v>
      </c>
      <c r="F592" s="2" t="s">
        <v>65</v>
      </c>
      <c r="G592" s="2" t="s">
        <v>60</v>
      </c>
      <c r="H592" s="2" t="s">
        <v>54</v>
      </c>
      <c r="I592" s="2">
        <v>3</v>
      </c>
      <c r="J592" s="5">
        <v>1442659</v>
      </c>
      <c r="K592" s="5">
        <v>35000</v>
      </c>
      <c r="L592" s="2" t="s">
        <v>35</v>
      </c>
      <c r="M592" s="2" t="s">
        <v>36</v>
      </c>
      <c r="N592" s="2" t="s">
        <v>37</v>
      </c>
    </row>
    <row r="593" spans="1:14" x14ac:dyDescent="0.25">
      <c r="A593" s="2" t="s">
        <v>1053</v>
      </c>
      <c r="B593" s="2" t="s">
        <v>635</v>
      </c>
      <c r="C593" s="2" t="s">
        <v>636</v>
      </c>
      <c r="D593" s="4">
        <v>46188</v>
      </c>
      <c r="E593" s="2" t="s">
        <v>31</v>
      </c>
      <c r="F593" s="2" t="s">
        <v>42</v>
      </c>
      <c r="G593" s="2" t="s">
        <v>75</v>
      </c>
      <c r="H593" s="2" t="s">
        <v>66</v>
      </c>
      <c r="I593" s="2">
        <v>7</v>
      </c>
      <c r="J593" s="5">
        <v>706910</v>
      </c>
      <c r="K593" s="5">
        <v>35000</v>
      </c>
      <c r="L593" s="2" t="s">
        <v>35</v>
      </c>
      <c r="M593" s="2" t="s">
        <v>71</v>
      </c>
      <c r="N593" s="2" t="s">
        <v>37</v>
      </c>
    </row>
    <row r="594" spans="1:14" x14ac:dyDescent="0.25">
      <c r="A594" s="2" t="s">
        <v>1054</v>
      </c>
      <c r="B594" s="2" t="s">
        <v>187</v>
      </c>
      <c r="C594" s="2" t="s">
        <v>88</v>
      </c>
      <c r="D594" s="4">
        <v>46118</v>
      </c>
      <c r="E594" s="2" t="s">
        <v>31</v>
      </c>
      <c r="F594" s="2" t="s">
        <v>42</v>
      </c>
      <c r="G594" s="2" t="s">
        <v>46</v>
      </c>
      <c r="H594" s="2" t="s">
        <v>76</v>
      </c>
      <c r="I594" s="2">
        <v>4</v>
      </c>
      <c r="J594" s="5">
        <v>219316</v>
      </c>
      <c r="K594" s="5">
        <v>25000</v>
      </c>
      <c r="L594" s="2" t="s">
        <v>48</v>
      </c>
      <c r="M594" s="2" t="s">
        <v>71</v>
      </c>
      <c r="N594" s="2" t="s">
        <v>37</v>
      </c>
    </row>
    <row r="595" spans="1:14" x14ac:dyDescent="0.25">
      <c r="A595" s="2" t="s">
        <v>1055</v>
      </c>
      <c r="B595" s="2" t="s">
        <v>1056</v>
      </c>
      <c r="C595" s="2" t="s">
        <v>45</v>
      </c>
      <c r="D595" s="4">
        <v>46093</v>
      </c>
      <c r="E595" s="2" t="s">
        <v>53</v>
      </c>
      <c r="F595" s="2" t="s">
        <v>59</v>
      </c>
      <c r="G595" s="2" t="s">
        <v>1057</v>
      </c>
      <c r="H595" s="2" t="s">
        <v>47</v>
      </c>
      <c r="I595" s="2">
        <v>2</v>
      </c>
      <c r="J595" s="5">
        <v>568096</v>
      </c>
      <c r="K595" s="5">
        <v>0</v>
      </c>
      <c r="L595" s="2" t="s">
        <v>177</v>
      </c>
      <c r="M595" s="2" t="s">
        <v>36</v>
      </c>
      <c r="N595" s="2" t="s">
        <v>37</v>
      </c>
    </row>
    <row r="596" spans="1:14" x14ac:dyDescent="0.25">
      <c r="A596" s="2" t="s">
        <v>1058</v>
      </c>
      <c r="B596" s="2" t="s">
        <v>424</v>
      </c>
      <c r="C596" s="2" t="s">
        <v>79</v>
      </c>
      <c r="D596" s="4">
        <v>46094</v>
      </c>
      <c r="E596" s="2" t="s">
        <v>53</v>
      </c>
      <c r="F596" s="2" t="s">
        <v>32</v>
      </c>
      <c r="G596" s="2" t="s">
        <v>60</v>
      </c>
      <c r="H596" s="2" t="s">
        <v>66</v>
      </c>
      <c r="I596" s="2">
        <v>1</v>
      </c>
      <c r="J596" s="5">
        <v>1692943</v>
      </c>
      <c r="K596" s="5">
        <v>0</v>
      </c>
      <c r="L596" s="2" t="s">
        <v>35</v>
      </c>
      <c r="M596" s="2" t="s">
        <v>67</v>
      </c>
      <c r="N596" s="2" t="s">
        <v>61</v>
      </c>
    </row>
    <row r="597" spans="1:14" x14ac:dyDescent="0.25">
      <c r="A597" s="2" t="s">
        <v>1059</v>
      </c>
      <c r="B597" s="2" t="s">
        <v>172</v>
      </c>
      <c r="C597" s="2" t="s">
        <v>173</v>
      </c>
      <c r="D597" s="4">
        <v>46057</v>
      </c>
      <c r="E597" s="2" t="s">
        <v>31</v>
      </c>
      <c r="F597" s="2" t="s">
        <v>32</v>
      </c>
      <c r="G597" s="2" t="s">
        <v>46</v>
      </c>
      <c r="H597" s="2" t="s">
        <v>1060</v>
      </c>
      <c r="I597" s="2">
        <v>7</v>
      </c>
      <c r="J597" s="5">
        <v>430331</v>
      </c>
      <c r="K597" s="5">
        <v>25000</v>
      </c>
      <c r="L597" s="2" t="s">
        <v>35</v>
      </c>
      <c r="M597" s="2" t="s">
        <v>71</v>
      </c>
      <c r="N597" s="2" t="s">
        <v>61</v>
      </c>
    </row>
    <row r="598" spans="1:14" x14ac:dyDescent="0.25">
      <c r="A598" s="2" t="s">
        <v>1061</v>
      </c>
      <c r="B598" s="2" t="s">
        <v>641</v>
      </c>
      <c r="C598" s="2" t="s">
        <v>642</v>
      </c>
      <c r="D598" s="4">
        <v>46085</v>
      </c>
      <c r="E598" s="2" t="s">
        <v>53</v>
      </c>
      <c r="F598" s="2" t="s">
        <v>32</v>
      </c>
      <c r="G598" s="2" t="s">
        <v>75</v>
      </c>
      <c r="H598" s="2" t="s">
        <v>54</v>
      </c>
      <c r="I598" s="2">
        <v>5</v>
      </c>
      <c r="J598" s="5">
        <v>1495069</v>
      </c>
      <c r="K598" s="5">
        <v>50000</v>
      </c>
      <c r="L598" s="2" t="s">
        <v>35</v>
      </c>
      <c r="M598" s="2" t="s">
        <v>67</v>
      </c>
      <c r="N598" s="2" t="s">
        <v>61</v>
      </c>
    </row>
    <row r="599" spans="1:14" x14ac:dyDescent="0.25">
      <c r="A599" s="2" t="s">
        <v>1062</v>
      </c>
      <c r="B599" s="2" t="s">
        <v>587</v>
      </c>
      <c r="C599" s="2" t="s">
        <v>238</v>
      </c>
      <c r="D599" s="4">
        <v>46040</v>
      </c>
      <c r="E599" s="2" t="s">
        <v>31</v>
      </c>
      <c r="F599" s="2" t="s">
        <v>656</v>
      </c>
      <c r="G599" s="2" t="s">
        <v>60</v>
      </c>
      <c r="H599" s="2" t="s">
        <v>34</v>
      </c>
      <c r="I599" s="2">
        <v>7</v>
      </c>
      <c r="J599" s="5">
        <v>1436848</v>
      </c>
      <c r="K599" s="5">
        <v>25000</v>
      </c>
      <c r="L599" s="2" t="s">
        <v>35</v>
      </c>
      <c r="M599" s="2" t="s">
        <v>71</v>
      </c>
      <c r="N599" s="2" t="s">
        <v>37</v>
      </c>
    </row>
    <row r="600" spans="1:14" x14ac:dyDescent="0.25">
      <c r="A600" s="2" t="s">
        <v>1063</v>
      </c>
      <c r="B600" s="2" t="s">
        <v>599</v>
      </c>
      <c r="C600" s="2" t="s">
        <v>263</v>
      </c>
      <c r="D600" s="4">
        <v>46108</v>
      </c>
      <c r="E600" s="2" t="s">
        <v>31</v>
      </c>
      <c r="F600" s="2" t="s">
        <v>65</v>
      </c>
      <c r="G600" s="2" t="s">
        <v>75</v>
      </c>
      <c r="H600" s="2" t="s">
        <v>47</v>
      </c>
      <c r="I600" s="2">
        <v>3</v>
      </c>
      <c r="J600" s="5">
        <v>954604</v>
      </c>
      <c r="K600" s="5">
        <v>25000</v>
      </c>
      <c r="L600" s="2" t="s">
        <v>35</v>
      </c>
      <c r="M600" s="2" t="s">
        <v>49</v>
      </c>
      <c r="N600" s="2" t="s">
        <v>37</v>
      </c>
    </row>
    <row r="601" spans="1:14" x14ac:dyDescent="0.25">
      <c r="A601" s="2" t="s">
        <v>1064</v>
      </c>
      <c r="B601" s="2" t="s">
        <v>344</v>
      </c>
      <c r="C601" s="2" t="s">
        <v>119</v>
      </c>
      <c r="D601" s="4">
        <v>46147</v>
      </c>
      <c r="E601" s="2" t="s">
        <v>58</v>
      </c>
      <c r="F601" s="2" t="s">
        <v>59</v>
      </c>
      <c r="G601" s="2" t="s">
        <v>81</v>
      </c>
      <c r="H601" s="2" t="s">
        <v>76</v>
      </c>
      <c r="I601" s="2">
        <v>1</v>
      </c>
      <c r="J601" s="5"/>
      <c r="K601" s="5">
        <v>50000</v>
      </c>
      <c r="L601" s="2" t="s">
        <v>245</v>
      </c>
      <c r="M601" s="2" t="s">
        <v>36</v>
      </c>
      <c r="N601" s="2" t="s">
        <v>37</v>
      </c>
    </row>
    <row r="602" spans="1:14" x14ac:dyDescent="0.25">
      <c r="A602" s="2" t="s">
        <v>1065</v>
      </c>
      <c r="B602" s="2" t="s">
        <v>405</v>
      </c>
      <c r="C602" s="2" t="s">
        <v>107</v>
      </c>
      <c r="D602" s="4">
        <v>46160</v>
      </c>
      <c r="E602" s="2" t="s">
        <v>58</v>
      </c>
      <c r="F602" s="2" t="s">
        <v>65</v>
      </c>
      <c r="G602" s="2" t="s">
        <v>46</v>
      </c>
      <c r="H602" s="2" t="s">
        <v>54</v>
      </c>
      <c r="I602" s="2">
        <v>5</v>
      </c>
      <c r="J602" s="5">
        <v>2183637</v>
      </c>
      <c r="K602" s="5">
        <v>25000</v>
      </c>
      <c r="L602" s="2" t="s">
        <v>35</v>
      </c>
      <c r="M602" s="2" t="s">
        <v>67</v>
      </c>
      <c r="N602" s="2" t="s">
        <v>61</v>
      </c>
    </row>
    <row r="603" spans="1:14" x14ac:dyDescent="0.25">
      <c r="A603" s="2" t="s">
        <v>1066</v>
      </c>
      <c r="B603" s="2" t="s">
        <v>318</v>
      </c>
      <c r="C603" s="2" t="s">
        <v>45</v>
      </c>
      <c r="D603" s="4">
        <v>46154</v>
      </c>
      <c r="E603" s="2" t="s">
        <v>58</v>
      </c>
      <c r="F603" s="2" t="s">
        <v>59</v>
      </c>
      <c r="G603" s="2" t="s">
        <v>991</v>
      </c>
      <c r="H603" s="2" t="s">
        <v>47</v>
      </c>
      <c r="I603" s="2">
        <v>4</v>
      </c>
      <c r="J603" s="5">
        <v>487967</v>
      </c>
      <c r="K603" s="5">
        <v>50000</v>
      </c>
      <c r="L603" s="2" t="s">
        <v>35</v>
      </c>
      <c r="M603" s="2" t="s">
        <v>49</v>
      </c>
      <c r="N603" s="2" t="s">
        <v>37</v>
      </c>
    </row>
    <row r="604" spans="1:14" x14ac:dyDescent="0.25">
      <c r="A604" s="2" t="s">
        <v>1067</v>
      </c>
      <c r="B604" s="2" t="s">
        <v>1068</v>
      </c>
      <c r="C604" s="2" t="s">
        <v>377</v>
      </c>
      <c r="D604" s="4">
        <v>46061</v>
      </c>
      <c r="E604" s="2" t="s">
        <v>53</v>
      </c>
      <c r="F604" s="2" t="s">
        <v>59</v>
      </c>
      <c r="G604" s="2" t="s">
        <v>81</v>
      </c>
      <c r="H604" s="2" t="s">
        <v>47</v>
      </c>
      <c r="I604" s="2">
        <v>2</v>
      </c>
      <c r="J604" s="5">
        <v>1505921</v>
      </c>
      <c r="K604" s="5">
        <v>0</v>
      </c>
      <c r="L604" s="2" t="s">
        <v>35</v>
      </c>
      <c r="M604" s="2" t="s">
        <v>67</v>
      </c>
      <c r="N604" s="2" t="s">
        <v>37</v>
      </c>
    </row>
    <row r="605" spans="1:14" x14ac:dyDescent="0.25">
      <c r="A605" s="2" t="s">
        <v>1069</v>
      </c>
      <c r="B605" s="2" t="s">
        <v>116</v>
      </c>
      <c r="C605" s="2" t="s">
        <v>74</v>
      </c>
      <c r="D605" s="4">
        <v>46182</v>
      </c>
      <c r="E605" s="2" t="s">
        <v>80</v>
      </c>
      <c r="F605" s="2" t="s">
        <v>42</v>
      </c>
      <c r="G605" s="2" t="s">
        <v>46</v>
      </c>
      <c r="H605" s="2" t="s">
        <v>66</v>
      </c>
      <c r="I605" s="2">
        <v>1</v>
      </c>
      <c r="J605" s="5">
        <v>1755558</v>
      </c>
      <c r="K605" s="5">
        <v>0</v>
      </c>
      <c r="L605" s="2" t="s">
        <v>35</v>
      </c>
      <c r="M605" s="2" t="s">
        <v>36</v>
      </c>
      <c r="N605" s="2" t="s">
        <v>37</v>
      </c>
    </row>
    <row r="606" spans="1:14" x14ac:dyDescent="0.25">
      <c r="A606" s="2" t="s">
        <v>1070</v>
      </c>
      <c r="B606" s="2" t="s">
        <v>597</v>
      </c>
      <c r="C606" s="2" t="s">
        <v>190</v>
      </c>
      <c r="D606" s="4">
        <v>46193</v>
      </c>
      <c r="E606" s="2" t="s">
        <v>31</v>
      </c>
      <c r="F606" s="2" t="s">
        <v>42</v>
      </c>
      <c r="G606" s="2" t="s">
        <v>85</v>
      </c>
      <c r="H606" s="2" t="s">
        <v>66</v>
      </c>
      <c r="I606" s="2">
        <v>3</v>
      </c>
      <c r="J606" s="5">
        <v>960251</v>
      </c>
      <c r="K606" s="5">
        <v>50000</v>
      </c>
      <c r="L606" s="2" t="s">
        <v>48</v>
      </c>
      <c r="M606" s="2" t="s">
        <v>71</v>
      </c>
      <c r="N606" s="2" t="s">
        <v>61</v>
      </c>
    </row>
    <row r="607" spans="1:14" x14ac:dyDescent="0.25">
      <c r="A607" s="2" t="s">
        <v>1071</v>
      </c>
      <c r="B607" s="2" t="s">
        <v>207</v>
      </c>
      <c r="C607" s="2" t="s">
        <v>1072</v>
      </c>
      <c r="D607" s="4">
        <v>46029</v>
      </c>
      <c r="E607" s="2" t="s">
        <v>80</v>
      </c>
      <c r="F607" s="2" t="s">
        <v>837</v>
      </c>
      <c r="G607" s="2" t="s">
        <v>33</v>
      </c>
      <c r="H607" s="2" t="s">
        <v>66</v>
      </c>
      <c r="I607" s="2">
        <v>7</v>
      </c>
      <c r="J607" s="5">
        <v>2357334</v>
      </c>
      <c r="K607" s="5">
        <v>50000</v>
      </c>
      <c r="L607" s="2" t="s">
        <v>35</v>
      </c>
      <c r="M607" s="2" t="s">
        <v>67</v>
      </c>
      <c r="N607" s="2" t="s">
        <v>61</v>
      </c>
    </row>
    <row r="608" spans="1:14" x14ac:dyDescent="0.25">
      <c r="A608" s="2" t="s">
        <v>1073</v>
      </c>
      <c r="B608" s="2" t="s">
        <v>446</v>
      </c>
      <c r="C608" s="2" t="s">
        <v>98</v>
      </c>
      <c r="D608" s="4">
        <v>46076</v>
      </c>
      <c r="E608" s="2" t="s">
        <v>31</v>
      </c>
      <c r="F608" s="2" t="s">
        <v>32</v>
      </c>
      <c r="G608" s="2" t="s">
        <v>81</v>
      </c>
      <c r="H608" s="2" t="s">
        <v>34</v>
      </c>
      <c r="I608" s="2">
        <v>2</v>
      </c>
      <c r="J608" s="5">
        <v>965997</v>
      </c>
      <c r="K608" s="5">
        <v>25000</v>
      </c>
      <c r="L608" s="2" t="s">
        <v>35</v>
      </c>
      <c r="M608" s="2" t="s">
        <v>67</v>
      </c>
      <c r="N608" s="2" t="s">
        <v>37</v>
      </c>
    </row>
    <row r="609" spans="1:14" x14ac:dyDescent="0.25">
      <c r="A609" s="2" t="s">
        <v>1074</v>
      </c>
      <c r="B609" s="2" t="s">
        <v>407</v>
      </c>
      <c r="C609" s="2" t="s">
        <v>200</v>
      </c>
      <c r="D609" s="4">
        <v>46119</v>
      </c>
      <c r="E609" s="2" t="s">
        <v>41</v>
      </c>
      <c r="F609" s="2" t="s">
        <v>65</v>
      </c>
      <c r="G609" s="2" t="s">
        <v>60</v>
      </c>
      <c r="H609" s="2" t="s">
        <v>47</v>
      </c>
      <c r="I609" s="2">
        <v>7</v>
      </c>
      <c r="J609" s="5">
        <v>226635</v>
      </c>
      <c r="K609" s="5">
        <v>35000</v>
      </c>
      <c r="L609" s="2" t="s">
        <v>35</v>
      </c>
      <c r="M609" s="2" t="s">
        <v>36</v>
      </c>
      <c r="N609" s="2" t="s">
        <v>37</v>
      </c>
    </row>
    <row r="610" spans="1:14" x14ac:dyDescent="0.25">
      <c r="A610" s="2" t="s">
        <v>1075</v>
      </c>
      <c r="B610" s="2" t="s">
        <v>770</v>
      </c>
      <c r="C610" s="2" t="s">
        <v>101</v>
      </c>
      <c r="D610" s="4">
        <v>46075</v>
      </c>
      <c r="E610" s="2" t="s">
        <v>53</v>
      </c>
      <c r="F610" s="2" t="s">
        <v>65</v>
      </c>
      <c r="G610" s="2" t="s">
        <v>85</v>
      </c>
      <c r="H610" s="2" t="s">
        <v>34</v>
      </c>
      <c r="I610" s="2">
        <v>7</v>
      </c>
      <c r="J610" s="5">
        <v>1715953</v>
      </c>
      <c r="K610" s="5">
        <v>50000</v>
      </c>
      <c r="L610" s="2" t="s">
        <v>35</v>
      </c>
      <c r="M610" s="2" t="s">
        <v>49</v>
      </c>
      <c r="N610" s="2" t="s">
        <v>61</v>
      </c>
    </row>
    <row r="611" spans="1:14" x14ac:dyDescent="0.25">
      <c r="A611" s="2" t="s">
        <v>1076</v>
      </c>
      <c r="B611" s="2" t="s">
        <v>807</v>
      </c>
      <c r="C611" s="2" t="s">
        <v>219</v>
      </c>
      <c r="D611" s="4">
        <v>46177</v>
      </c>
      <c r="E611" s="2" t="s">
        <v>53</v>
      </c>
      <c r="F611" s="2" t="s">
        <v>32</v>
      </c>
      <c r="G611" s="2" t="s">
        <v>60</v>
      </c>
      <c r="H611" s="2" t="s">
        <v>66</v>
      </c>
      <c r="I611" s="2">
        <v>4</v>
      </c>
      <c r="J611" s="5">
        <v>1623198</v>
      </c>
      <c r="K611" s="5">
        <v>25000</v>
      </c>
      <c r="L611" s="2" t="s">
        <v>35</v>
      </c>
      <c r="M611" s="2" t="s">
        <v>49</v>
      </c>
      <c r="N611" s="2" t="s">
        <v>61</v>
      </c>
    </row>
    <row r="612" spans="1:14" x14ac:dyDescent="0.25">
      <c r="A612" s="2" t="s">
        <v>1077</v>
      </c>
      <c r="B612" s="2" t="s">
        <v>279</v>
      </c>
      <c r="C612" s="2" t="s">
        <v>111</v>
      </c>
      <c r="D612" s="2" t="s">
        <v>1078</v>
      </c>
      <c r="E612" s="2" t="s">
        <v>58</v>
      </c>
      <c r="F612" s="2" t="s">
        <v>32</v>
      </c>
      <c r="G612" s="2" t="s">
        <v>33</v>
      </c>
      <c r="H612" s="2" t="s">
        <v>66</v>
      </c>
      <c r="I612" s="2">
        <v>7</v>
      </c>
      <c r="J612" s="5">
        <v>150432</v>
      </c>
      <c r="K612" s="5">
        <v>35000</v>
      </c>
      <c r="L612" s="2" t="s">
        <v>35</v>
      </c>
      <c r="M612" s="2" t="s">
        <v>49</v>
      </c>
      <c r="N612" s="2" t="s">
        <v>61</v>
      </c>
    </row>
    <row r="613" spans="1:14" x14ac:dyDescent="0.25">
      <c r="A613" s="2" t="s">
        <v>1079</v>
      </c>
      <c r="B613" s="2" t="s">
        <v>417</v>
      </c>
      <c r="C613" s="2" t="s">
        <v>70</v>
      </c>
      <c r="D613" s="4">
        <v>46189</v>
      </c>
      <c r="E613" s="2" t="s">
        <v>41</v>
      </c>
      <c r="F613" s="2" t="s">
        <v>59</v>
      </c>
      <c r="G613" s="2" t="s">
        <v>81</v>
      </c>
      <c r="H613" s="2" t="s">
        <v>66</v>
      </c>
      <c r="I613" s="2">
        <v>6</v>
      </c>
      <c r="J613" s="5" t="s">
        <v>1080</v>
      </c>
      <c r="K613" s="5">
        <v>15000</v>
      </c>
      <c r="L613" s="2" t="s">
        <v>35</v>
      </c>
      <c r="M613" s="2" t="s">
        <v>36</v>
      </c>
      <c r="N613" s="2" t="s">
        <v>37</v>
      </c>
    </row>
    <row r="614" spans="1:14" x14ac:dyDescent="0.25">
      <c r="A614" s="2" t="s">
        <v>1081</v>
      </c>
      <c r="B614" s="2" t="s">
        <v>56</v>
      </c>
      <c r="C614" s="2" t="s">
        <v>57</v>
      </c>
      <c r="D614" s="4">
        <v>46059</v>
      </c>
      <c r="E614" s="2" t="s">
        <v>31</v>
      </c>
      <c r="F614" s="2" t="s">
        <v>59</v>
      </c>
      <c r="G614" s="2" t="s">
        <v>81</v>
      </c>
      <c r="H614" s="2" t="s">
        <v>54</v>
      </c>
      <c r="I614" s="2">
        <v>5</v>
      </c>
      <c r="J614" s="5">
        <v>1164373</v>
      </c>
      <c r="K614" s="5">
        <v>15000</v>
      </c>
      <c r="L614" s="2" t="s">
        <v>35</v>
      </c>
      <c r="M614" s="2" t="s">
        <v>36</v>
      </c>
      <c r="N614" s="2" t="s">
        <v>61</v>
      </c>
    </row>
    <row r="615" spans="1:14" x14ac:dyDescent="0.25">
      <c r="A615" s="2" t="s">
        <v>1082</v>
      </c>
      <c r="B615" s="2" t="s">
        <v>411</v>
      </c>
      <c r="C615" s="2" t="s">
        <v>1083</v>
      </c>
      <c r="D615" s="4">
        <v>46192</v>
      </c>
      <c r="E615" s="2" t="s">
        <v>31</v>
      </c>
      <c r="F615" s="2" t="s">
        <v>42</v>
      </c>
      <c r="G615" s="2" t="s">
        <v>46</v>
      </c>
      <c r="H615" s="2" t="s">
        <v>34</v>
      </c>
      <c r="I615" s="2">
        <v>5</v>
      </c>
      <c r="J615" s="5">
        <v>1349285</v>
      </c>
      <c r="K615" s="5">
        <v>25000</v>
      </c>
      <c r="L615" s="2" t="s">
        <v>35</v>
      </c>
      <c r="M615" s="2" t="s">
        <v>67</v>
      </c>
      <c r="N615" s="2" t="s">
        <v>61</v>
      </c>
    </row>
    <row r="616" spans="1:14" x14ac:dyDescent="0.25">
      <c r="A616" s="2" t="s">
        <v>1084</v>
      </c>
      <c r="B616" s="2" t="s">
        <v>247</v>
      </c>
      <c r="C616" s="2" t="s">
        <v>248</v>
      </c>
      <c r="D616" s="4">
        <v>46051</v>
      </c>
      <c r="E616" s="2" t="s">
        <v>80</v>
      </c>
      <c r="F616" s="2" t="s">
        <v>32</v>
      </c>
      <c r="G616" s="2" t="s">
        <v>46</v>
      </c>
      <c r="H616" s="2" t="s">
        <v>66</v>
      </c>
      <c r="I616" s="2">
        <v>4</v>
      </c>
      <c r="J616" s="5">
        <v>801044</v>
      </c>
      <c r="K616" s="5">
        <v>0</v>
      </c>
      <c r="L616" s="2" t="s">
        <v>35</v>
      </c>
      <c r="M616" s="2" t="s">
        <v>36</v>
      </c>
      <c r="N616" s="2" t="s">
        <v>61</v>
      </c>
    </row>
    <row r="617" spans="1:14" x14ac:dyDescent="0.25">
      <c r="A617" s="2" t="s">
        <v>1085</v>
      </c>
      <c r="B617" s="2" t="s">
        <v>366</v>
      </c>
      <c r="C617" s="2" t="s">
        <v>266</v>
      </c>
      <c r="D617" s="4">
        <v>46029</v>
      </c>
      <c r="E617" s="2" t="s">
        <v>41</v>
      </c>
      <c r="F617" s="2" t="s">
        <v>65</v>
      </c>
      <c r="G617" s="2" t="s">
        <v>46</v>
      </c>
      <c r="H617" s="2" t="s">
        <v>47</v>
      </c>
      <c r="I617" s="2">
        <v>4</v>
      </c>
      <c r="J617" s="5">
        <v>1510755</v>
      </c>
      <c r="K617" s="5">
        <v>0</v>
      </c>
      <c r="L617" s="2" t="s">
        <v>35</v>
      </c>
      <c r="M617" s="2" t="s">
        <v>71</v>
      </c>
      <c r="N617" s="2" t="s">
        <v>61</v>
      </c>
    </row>
    <row r="618" spans="1:14" x14ac:dyDescent="0.25">
      <c r="A618" s="2" t="s">
        <v>1086</v>
      </c>
      <c r="B618" s="2" t="s">
        <v>764</v>
      </c>
      <c r="C618" s="2" t="s">
        <v>370</v>
      </c>
      <c r="D618" s="4">
        <v>46048</v>
      </c>
      <c r="E618" s="2" t="s">
        <v>58</v>
      </c>
      <c r="F618" s="2" t="s">
        <v>59</v>
      </c>
      <c r="G618" s="2" t="s">
        <v>60</v>
      </c>
      <c r="H618" s="2" t="s">
        <v>47</v>
      </c>
      <c r="I618" s="2">
        <v>2</v>
      </c>
      <c r="J618" s="5">
        <v>182656</v>
      </c>
      <c r="K618" s="5">
        <v>25000</v>
      </c>
      <c r="L618" s="2" t="s">
        <v>35</v>
      </c>
      <c r="M618" s="2" t="s">
        <v>49</v>
      </c>
      <c r="N618" s="2" t="s">
        <v>37</v>
      </c>
    </row>
    <row r="619" spans="1:14" x14ac:dyDescent="0.25">
      <c r="A619" s="2" t="s">
        <v>1087</v>
      </c>
      <c r="B619" s="2" t="s">
        <v>256</v>
      </c>
      <c r="C619" s="2" t="s">
        <v>257</v>
      </c>
      <c r="D619" s="4">
        <v>46177</v>
      </c>
      <c r="E619" s="2" t="s">
        <v>31</v>
      </c>
      <c r="F619" s="2" t="s">
        <v>32</v>
      </c>
      <c r="G619" s="2" t="s">
        <v>75</v>
      </c>
      <c r="H619" s="2" t="s">
        <v>76</v>
      </c>
      <c r="I619" s="2">
        <v>4</v>
      </c>
      <c r="J619" s="5">
        <v>123026</v>
      </c>
      <c r="K619" s="5">
        <v>25000</v>
      </c>
      <c r="L619" s="2" t="s">
        <v>35</v>
      </c>
      <c r="M619" s="2" t="s">
        <v>71</v>
      </c>
      <c r="N619" s="2" t="s">
        <v>37</v>
      </c>
    </row>
    <row r="620" spans="1:14" x14ac:dyDescent="0.25">
      <c r="A620" s="2" t="s">
        <v>1088</v>
      </c>
      <c r="B620" s="2" t="s">
        <v>745</v>
      </c>
      <c r="C620" s="2" t="s">
        <v>158</v>
      </c>
      <c r="D620" s="4">
        <v>46194</v>
      </c>
      <c r="E620" s="2" t="s">
        <v>31</v>
      </c>
      <c r="F620" s="2" t="s">
        <v>42</v>
      </c>
      <c r="G620" s="2" t="s">
        <v>85</v>
      </c>
      <c r="H620" s="2" t="s">
        <v>76</v>
      </c>
      <c r="I620" s="2">
        <v>4</v>
      </c>
      <c r="J620" s="5">
        <v>524323</v>
      </c>
      <c r="K620" s="5">
        <v>35000</v>
      </c>
      <c r="L620" s="2" t="s">
        <v>35</v>
      </c>
      <c r="M620" s="2" t="s">
        <v>71</v>
      </c>
      <c r="N620" s="2" t="s">
        <v>61</v>
      </c>
    </row>
    <row r="621" spans="1:14" x14ac:dyDescent="0.25">
      <c r="A621" s="2" t="s">
        <v>1089</v>
      </c>
      <c r="B621" s="2" t="s">
        <v>583</v>
      </c>
      <c r="C621" s="2" t="s">
        <v>377</v>
      </c>
      <c r="D621" s="4">
        <v>46059</v>
      </c>
      <c r="E621" s="2" t="s">
        <v>53</v>
      </c>
      <c r="F621" s="2" t="s">
        <v>65</v>
      </c>
      <c r="G621" s="2" t="s">
        <v>85</v>
      </c>
      <c r="H621" s="2" t="s">
        <v>34</v>
      </c>
      <c r="I621" s="2">
        <v>6</v>
      </c>
      <c r="J621" s="5">
        <v>1066032</v>
      </c>
      <c r="K621" s="5">
        <v>0</v>
      </c>
      <c r="L621" s="2" t="s">
        <v>35</v>
      </c>
      <c r="M621" s="2"/>
      <c r="N621" s="2" t="s">
        <v>37</v>
      </c>
    </row>
    <row r="622" spans="1:14" x14ac:dyDescent="0.25">
      <c r="A622" s="2" t="s">
        <v>1090</v>
      </c>
      <c r="B622" s="2" t="s">
        <v>175</v>
      </c>
      <c r="C622" s="2" t="s">
        <v>176</v>
      </c>
      <c r="D622" s="4">
        <v>46191</v>
      </c>
      <c r="E622" s="2" t="s">
        <v>53</v>
      </c>
      <c r="F622" s="2" t="s">
        <v>32</v>
      </c>
      <c r="G622" s="2" t="s">
        <v>85</v>
      </c>
      <c r="H622" s="2" t="s">
        <v>66</v>
      </c>
      <c r="I622" s="2">
        <v>6</v>
      </c>
      <c r="J622" s="5">
        <v>1382939</v>
      </c>
      <c r="K622" s="5">
        <v>25000</v>
      </c>
      <c r="L622" s="2" t="s">
        <v>89</v>
      </c>
      <c r="M622" s="2" t="s">
        <v>71</v>
      </c>
      <c r="N622" s="2" t="s">
        <v>37</v>
      </c>
    </row>
    <row r="623" spans="1:14" x14ac:dyDescent="0.25">
      <c r="A623" s="2" t="s">
        <v>1091</v>
      </c>
      <c r="B623" s="2" t="s">
        <v>149</v>
      </c>
      <c r="C623" s="2" t="s">
        <v>114</v>
      </c>
      <c r="D623" s="4">
        <v>46192</v>
      </c>
      <c r="E623" s="2" t="s">
        <v>41</v>
      </c>
      <c r="F623" s="2" t="s">
        <v>65</v>
      </c>
      <c r="G623" s="2" t="s">
        <v>85</v>
      </c>
      <c r="H623" s="2" t="s">
        <v>34</v>
      </c>
      <c r="I623" s="2">
        <v>6</v>
      </c>
      <c r="J623" s="5">
        <v>729101</v>
      </c>
      <c r="K623" s="5">
        <v>50000</v>
      </c>
      <c r="L623" s="2" t="s">
        <v>245</v>
      </c>
      <c r="M623" s="2" t="s">
        <v>67</v>
      </c>
      <c r="N623" s="2" t="s">
        <v>61</v>
      </c>
    </row>
    <row r="624" spans="1:14" x14ac:dyDescent="0.25">
      <c r="A624" s="2" t="s">
        <v>1092</v>
      </c>
      <c r="B624" s="2" t="s">
        <v>135</v>
      </c>
      <c r="C624" s="2" t="s">
        <v>136</v>
      </c>
      <c r="D624" s="4">
        <v>46185</v>
      </c>
      <c r="E624" s="2" t="s">
        <v>41</v>
      </c>
      <c r="F624" s="2" t="s">
        <v>59</v>
      </c>
      <c r="G624" s="2" t="s">
        <v>33</v>
      </c>
      <c r="H624" s="2" t="s">
        <v>34</v>
      </c>
      <c r="I624" s="2">
        <v>2</v>
      </c>
      <c r="J624" s="5">
        <v>263084</v>
      </c>
      <c r="K624" s="5">
        <v>15000</v>
      </c>
      <c r="L624" s="2" t="s">
        <v>35</v>
      </c>
      <c r="M624" s="2" t="s">
        <v>67</v>
      </c>
      <c r="N624" s="2" t="s">
        <v>37</v>
      </c>
    </row>
    <row r="625" spans="1:14" x14ac:dyDescent="0.25">
      <c r="A625" s="2" t="s">
        <v>1093</v>
      </c>
      <c r="B625" s="2" t="s">
        <v>94</v>
      </c>
      <c r="C625" s="2" t="s">
        <v>70</v>
      </c>
      <c r="D625" s="4">
        <v>46077</v>
      </c>
      <c r="E625" s="2" t="s">
        <v>80</v>
      </c>
      <c r="F625" s="2" t="s">
        <v>32</v>
      </c>
      <c r="G625" s="2" t="s">
        <v>33</v>
      </c>
      <c r="H625" s="2" t="s">
        <v>34</v>
      </c>
      <c r="I625" s="2">
        <v>3</v>
      </c>
      <c r="J625" s="5">
        <v>2020831</v>
      </c>
      <c r="K625" s="5">
        <v>50000</v>
      </c>
      <c r="L625" s="2" t="s">
        <v>35</v>
      </c>
      <c r="M625" s="2" t="s">
        <v>108</v>
      </c>
      <c r="N625" s="2" t="s">
        <v>37</v>
      </c>
    </row>
    <row r="626" spans="1:14" x14ac:dyDescent="0.25">
      <c r="A626" s="2" t="s">
        <v>1094</v>
      </c>
      <c r="B626" s="2" t="s">
        <v>341</v>
      </c>
      <c r="C626" s="2" t="s">
        <v>342</v>
      </c>
      <c r="D626" s="4">
        <v>46147</v>
      </c>
      <c r="E626" s="2" t="s">
        <v>53</v>
      </c>
      <c r="F626" s="2" t="s">
        <v>32</v>
      </c>
      <c r="G626" s="2" t="s">
        <v>81</v>
      </c>
      <c r="H626" s="2" t="s">
        <v>66</v>
      </c>
      <c r="I626" s="2">
        <v>6</v>
      </c>
      <c r="J626" s="5">
        <v>2422256</v>
      </c>
      <c r="K626" s="5">
        <v>35000</v>
      </c>
      <c r="L626" s="2" t="s">
        <v>35</v>
      </c>
      <c r="M626" s="2" t="s">
        <v>71</v>
      </c>
      <c r="N626" s="2" t="s">
        <v>37</v>
      </c>
    </row>
    <row r="627" spans="1:14" x14ac:dyDescent="0.25">
      <c r="A627" s="2" t="s">
        <v>1095</v>
      </c>
      <c r="B627" s="2" t="s">
        <v>669</v>
      </c>
      <c r="C627" s="2" t="s">
        <v>129</v>
      </c>
      <c r="D627" s="4">
        <v>46029</v>
      </c>
      <c r="E627" s="2" t="s">
        <v>678</v>
      </c>
      <c r="F627" s="2" t="s">
        <v>65</v>
      </c>
      <c r="G627" s="2" t="s">
        <v>46</v>
      </c>
      <c r="H627" s="2" t="s">
        <v>66</v>
      </c>
      <c r="I627" s="2">
        <v>1</v>
      </c>
      <c r="J627" s="5">
        <v>2398844</v>
      </c>
      <c r="K627" s="5">
        <v>15000</v>
      </c>
      <c r="L627" s="2" t="s">
        <v>35</v>
      </c>
      <c r="M627" s="2" t="s">
        <v>36</v>
      </c>
      <c r="N627" s="2" t="s">
        <v>61</v>
      </c>
    </row>
    <row r="628" spans="1:14" x14ac:dyDescent="0.25">
      <c r="A628" s="2" t="s">
        <v>1096</v>
      </c>
      <c r="B628" s="2" t="s">
        <v>283</v>
      </c>
      <c r="C628" s="2" t="s">
        <v>284</v>
      </c>
      <c r="D628" s="4">
        <v>46111</v>
      </c>
      <c r="E628" s="2" t="s">
        <v>53</v>
      </c>
      <c r="F628" s="2" t="s">
        <v>42</v>
      </c>
      <c r="G628" s="2" t="s">
        <v>60</v>
      </c>
      <c r="H628" s="2" t="s">
        <v>76</v>
      </c>
      <c r="I628" s="2">
        <v>4</v>
      </c>
      <c r="J628" s="5">
        <v>1407778</v>
      </c>
      <c r="K628" s="5">
        <v>35000</v>
      </c>
      <c r="L628" s="2" t="s">
        <v>35</v>
      </c>
      <c r="M628" s="2" t="s">
        <v>49</v>
      </c>
      <c r="N628" s="2" t="s">
        <v>61</v>
      </c>
    </row>
    <row r="629" spans="1:14" x14ac:dyDescent="0.25">
      <c r="A629" s="2" t="s">
        <v>1097</v>
      </c>
      <c r="B629" s="2" t="s">
        <v>135</v>
      </c>
      <c r="C629" s="2" t="s">
        <v>136</v>
      </c>
      <c r="D629" s="4">
        <v>46197</v>
      </c>
      <c r="E629" s="2" t="s">
        <v>53</v>
      </c>
      <c r="F629" s="2" t="s">
        <v>42</v>
      </c>
      <c r="G629" s="2" t="s">
        <v>46</v>
      </c>
      <c r="H629" s="2" t="s">
        <v>76</v>
      </c>
      <c r="I629" s="2">
        <v>2</v>
      </c>
      <c r="J629" s="5">
        <v>1050536</v>
      </c>
      <c r="K629" s="5">
        <v>0</v>
      </c>
      <c r="L629" s="2" t="s">
        <v>35</v>
      </c>
      <c r="M629" s="2" t="s">
        <v>36</v>
      </c>
      <c r="N629" s="2" t="s">
        <v>61</v>
      </c>
    </row>
    <row r="630" spans="1:14" x14ac:dyDescent="0.25">
      <c r="A630" s="2" t="s">
        <v>1098</v>
      </c>
      <c r="B630" s="2" t="s">
        <v>318</v>
      </c>
      <c r="C630" s="2" t="s">
        <v>45</v>
      </c>
      <c r="D630" s="4">
        <v>46159</v>
      </c>
      <c r="E630" s="2" t="s">
        <v>31</v>
      </c>
      <c r="F630" s="2" t="s">
        <v>32</v>
      </c>
      <c r="G630" s="2" t="s">
        <v>85</v>
      </c>
      <c r="H630" s="2" t="s">
        <v>54</v>
      </c>
      <c r="I630" s="2">
        <v>2</v>
      </c>
      <c r="J630" s="5">
        <v>1641090</v>
      </c>
      <c r="K630" s="5">
        <v>50000</v>
      </c>
      <c r="L630" s="2" t="s">
        <v>123</v>
      </c>
      <c r="M630" s="2" t="s">
        <v>49</v>
      </c>
      <c r="N630" s="2" t="s">
        <v>61</v>
      </c>
    </row>
    <row r="631" spans="1:14" x14ac:dyDescent="0.25">
      <c r="A631" s="2" t="s">
        <v>1099</v>
      </c>
      <c r="B631" s="2" t="s">
        <v>923</v>
      </c>
      <c r="C631" s="2" t="s">
        <v>370</v>
      </c>
      <c r="D631" s="4">
        <v>46185</v>
      </c>
      <c r="E631" s="2" t="s">
        <v>31</v>
      </c>
      <c r="F631" s="2" t="s">
        <v>32</v>
      </c>
      <c r="G631" s="2" t="s">
        <v>81</v>
      </c>
      <c r="H631" s="2" t="s">
        <v>47</v>
      </c>
      <c r="I631" s="2">
        <v>5</v>
      </c>
      <c r="J631" s="5">
        <v>1068992</v>
      </c>
      <c r="K631" s="5">
        <v>15000</v>
      </c>
      <c r="L631" s="2" t="s">
        <v>245</v>
      </c>
      <c r="M631" s="2" t="s">
        <v>36</v>
      </c>
      <c r="N631" s="2" t="s">
        <v>37</v>
      </c>
    </row>
    <row r="632" spans="1:14" x14ac:dyDescent="0.25">
      <c r="A632" s="2" t="s">
        <v>1100</v>
      </c>
      <c r="B632" s="2" t="s">
        <v>438</v>
      </c>
      <c r="C632" s="2" t="s">
        <v>244</v>
      </c>
      <c r="D632" s="4">
        <v>46156</v>
      </c>
      <c r="E632" s="2" t="s">
        <v>964</v>
      </c>
      <c r="F632" s="2" t="s">
        <v>65</v>
      </c>
      <c r="G632" s="2" t="s">
        <v>81</v>
      </c>
      <c r="H632" s="2" t="s">
        <v>639</v>
      </c>
      <c r="I632" s="2">
        <v>4</v>
      </c>
      <c r="J632" s="5">
        <v>1886909</v>
      </c>
      <c r="K632" s="5">
        <v>35000</v>
      </c>
      <c r="L632" s="2" t="s">
        <v>35</v>
      </c>
      <c r="M632" s="2" t="s">
        <v>36</v>
      </c>
      <c r="N632" s="2" t="s">
        <v>37</v>
      </c>
    </row>
    <row r="633" spans="1:14" x14ac:dyDescent="0.25">
      <c r="A633" s="2" t="s">
        <v>1101</v>
      </c>
      <c r="B633" s="2" t="s">
        <v>347</v>
      </c>
      <c r="C633" s="2" t="s">
        <v>276</v>
      </c>
      <c r="D633" s="4">
        <v>46179</v>
      </c>
      <c r="E633" s="2" t="s">
        <v>31</v>
      </c>
      <c r="F633" s="2" t="s">
        <v>42</v>
      </c>
      <c r="G633" s="2" t="s">
        <v>60</v>
      </c>
      <c r="H633" s="2" t="s">
        <v>34</v>
      </c>
      <c r="I633" s="2">
        <v>7</v>
      </c>
      <c r="J633" s="5">
        <v>400241</v>
      </c>
      <c r="K633" s="5">
        <v>0</v>
      </c>
      <c r="L633" s="2" t="s">
        <v>35</v>
      </c>
      <c r="M633" s="2" t="s">
        <v>67</v>
      </c>
      <c r="N633" s="2" t="s">
        <v>37</v>
      </c>
    </row>
    <row r="634" spans="1:14" x14ac:dyDescent="0.25">
      <c r="A634" s="2" t="s">
        <v>1102</v>
      </c>
      <c r="B634" s="2" t="s">
        <v>782</v>
      </c>
      <c r="C634" s="2" t="s">
        <v>165</v>
      </c>
      <c r="D634" s="4">
        <v>46174</v>
      </c>
      <c r="E634" s="2" t="s">
        <v>80</v>
      </c>
      <c r="F634" s="2" t="s">
        <v>42</v>
      </c>
      <c r="G634" s="2" t="s">
        <v>60</v>
      </c>
      <c r="H634" s="2" t="s">
        <v>54</v>
      </c>
      <c r="I634" s="2">
        <v>7</v>
      </c>
      <c r="J634" s="5">
        <v>931058</v>
      </c>
      <c r="K634" s="5">
        <v>15000</v>
      </c>
      <c r="L634" s="2" t="s">
        <v>35</v>
      </c>
      <c r="M634" s="2" t="s">
        <v>67</v>
      </c>
      <c r="N634" s="2" t="s">
        <v>61</v>
      </c>
    </row>
    <row r="635" spans="1:14" x14ac:dyDescent="0.25">
      <c r="A635" s="2" t="s">
        <v>1103</v>
      </c>
      <c r="B635" s="2" t="s">
        <v>874</v>
      </c>
      <c r="C635" s="2" t="s">
        <v>393</v>
      </c>
      <c r="D635" s="4">
        <v>46136</v>
      </c>
      <c r="E635" s="2" t="s">
        <v>53</v>
      </c>
      <c r="F635" s="2" t="s">
        <v>32</v>
      </c>
      <c r="G635" s="2" t="s">
        <v>46</v>
      </c>
      <c r="H635" s="2" t="s">
        <v>54</v>
      </c>
      <c r="I635" s="2">
        <v>7</v>
      </c>
      <c r="J635" s="5">
        <v>717304</v>
      </c>
      <c r="K635" s="5">
        <v>25000</v>
      </c>
      <c r="L635" s="2" t="s">
        <v>35</v>
      </c>
      <c r="M635" s="2" t="s">
        <v>36</v>
      </c>
      <c r="N635" s="2" t="s">
        <v>37</v>
      </c>
    </row>
    <row r="636" spans="1:14" x14ac:dyDescent="0.25">
      <c r="A636" s="2" t="s">
        <v>1104</v>
      </c>
      <c r="B636" s="2" t="s">
        <v>505</v>
      </c>
      <c r="C636" s="2" t="s">
        <v>470</v>
      </c>
      <c r="D636" s="4">
        <v>46192</v>
      </c>
      <c r="E636" s="2" t="s">
        <v>41</v>
      </c>
      <c r="F636" s="2" t="s">
        <v>42</v>
      </c>
      <c r="G636" s="2" t="s">
        <v>81</v>
      </c>
      <c r="H636" s="2" t="s">
        <v>66</v>
      </c>
      <c r="I636" s="2">
        <v>7</v>
      </c>
      <c r="J636" s="5">
        <v>1958245</v>
      </c>
      <c r="K636" s="5">
        <v>25000</v>
      </c>
      <c r="L636" s="2" t="s">
        <v>35</v>
      </c>
      <c r="M636" s="2" t="s">
        <v>36</v>
      </c>
      <c r="N636" s="2" t="s">
        <v>37</v>
      </c>
    </row>
    <row r="637" spans="1:14" x14ac:dyDescent="0.25">
      <c r="A637" s="2" t="s">
        <v>1105</v>
      </c>
      <c r="B637" s="2" t="s">
        <v>327</v>
      </c>
      <c r="C637" s="2" t="s">
        <v>328</v>
      </c>
      <c r="D637" s="4">
        <v>46120</v>
      </c>
      <c r="E637" s="2" t="s">
        <v>41</v>
      </c>
      <c r="F637" s="2" t="s">
        <v>32</v>
      </c>
      <c r="G637" s="2" t="s">
        <v>85</v>
      </c>
      <c r="H637" s="2" t="s">
        <v>76</v>
      </c>
      <c r="I637" s="2">
        <v>6</v>
      </c>
      <c r="J637" s="5">
        <v>1191444</v>
      </c>
      <c r="K637" s="5">
        <v>0</v>
      </c>
      <c r="L637" s="2" t="s">
        <v>35</v>
      </c>
      <c r="M637" s="2" t="s">
        <v>36</v>
      </c>
      <c r="N637" s="2" t="s">
        <v>61</v>
      </c>
    </row>
    <row r="638" spans="1:14" x14ac:dyDescent="0.25">
      <c r="A638" s="2" t="s">
        <v>1106</v>
      </c>
      <c r="B638" s="2" t="s">
        <v>300</v>
      </c>
      <c r="C638" s="2" t="s">
        <v>107</v>
      </c>
      <c r="D638" s="4">
        <v>46177</v>
      </c>
      <c r="E638" s="2" t="s">
        <v>41</v>
      </c>
      <c r="F638" s="2" t="s">
        <v>59</v>
      </c>
      <c r="G638" s="2" t="s">
        <v>1057</v>
      </c>
      <c r="H638" s="2" t="s">
        <v>54</v>
      </c>
      <c r="I638" s="2">
        <v>7</v>
      </c>
      <c r="J638" s="5">
        <v>1640642</v>
      </c>
      <c r="K638" s="5">
        <v>15000</v>
      </c>
      <c r="L638" s="2" t="s">
        <v>48</v>
      </c>
      <c r="M638" s="2" t="s">
        <v>49</v>
      </c>
      <c r="N638" s="2" t="s">
        <v>37</v>
      </c>
    </row>
    <row r="639" spans="1:14" x14ac:dyDescent="0.25">
      <c r="A639" s="2" t="s">
        <v>1107</v>
      </c>
      <c r="B639" s="2" t="s">
        <v>392</v>
      </c>
      <c r="C639" s="2" t="s">
        <v>393</v>
      </c>
      <c r="D639" s="4">
        <v>46093</v>
      </c>
      <c r="E639" s="2" t="s">
        <v>80</v>
      </c>
      <c r="F639" s="2" t="s">
        <v>65</v>
      </c>
      <c r="G639" s="2" t="s">
        <v>81</v>
      </c>
      <c r="H639" s="2" t="s">
        <v>54</v>
      </c>
      <c r="I639" s="2">
        <v>3</v>
      </c>
      <c r="J639" s="5">
        <v>1175583</v>
      </c>
      <c r="K639" s="5">
        <v>50000</v>
      </c>
      <c r="L639" s="2" t="s">
        <v>35</v>
      </c>
      <c r="M639" s="2" t="s">
        <v>71</v>
      </c>
      <c r="N639" s="2" t="s">
        <v>37</v>
      </c>
    </row>
    <row r="640" spans="1:14" x14ac:dyDescent="0.25">
      <c r="A640" s="2" t="s">
        <v>1108</v>
      </c>
      <c r="B640" s="2" t="s">
        <v>699</v>
      </c>
      <c r="C640" s="2" t="s">
        <v>104</v>
      </c>
      <c r="D640" s="4">
        <v>46172</v>
      </c>
      <c r="E640" s="2" t="s">
        <v>41</v>
      </c>
      <c r="F640" s="2" t="s">
        <v>59</v>
      </c>
      <c r="G640" s="2" t="s">
        <v>46</v>
      </c>
      <c r="H640" s="2" t="s">
        <v>76</v>
      </c>
      <c r="I640" s="2">
        <v>5</v>
      </c>
      <c r="J640" s="5">
        <v>2196080</v>
      </c>
      <c r="K640" s="5">
        <v>15000</v>
      </c>
      <c r="L640" s="2" t="s">
        <v>35</v>
      </c>
      <c r="M640" s="2" t="s">
        <v>67</v>
      </c>
      <c r="N640" s="2" t="s">
        <v>37</v>
      </c>
    </row>
    <row r="641" spans="1:14" x14ac:dyDescent="0.25">
      <c r="A641" s="2" t="s">
        <v>1109</v>
      </c>
      <c r="B641" s="2" t="s">
        <v>327</v>
      </c>
      <c r="C641" s="2" t="s">
        <v>328</v>
      </c>
      <c r="D641" s="4">
        <v>46177</v>
      </c>
      <c r="E641" s="2" t="s">
        <v>58</v>
      </c>
      <c r="F641" s="2" t="s">
        <v>42</v>
      </c>
      <c r="G641" s="2" t="s">
        <v>33</v>
      </c>
      <c r="H641" s="2" t="s">
        <v>76</v>
      </c>
      <c r="I641" s="2">
        <v>7</v>
      </c>
      <c r="J641" s="5">
        <v>572136</v>
      </c>
      <c r="K641" s="5">
        <v>50000</v>
      </c>
      <c r="L641" s="2" t="s">
        <v>48</v>
      </c>
      <c r="M641" s="2" t="s">
        <v>71</v>
      </c>
      <c r="N641" s="2" t="s">
        <v>37</v>
      </c>
    </row>
    <row r="642" spans="1:14" x14ac:dyDescent="0.25">
      <c r="A642" s="2" t="s">
        <v>1110</v>
      </c>
      <c r="B642" s="2" t="s">
        <v>593</v>
      </c>
      <c r="C642" s="2" t="s">
        <v>208</v>
      </c>
      <c r="D642" s="4">
        <v>46123</v>
      </c>
      <c r="E642" s="2" t="s">
        <v>53</v>
      </c>
      <c r="F642" s="2" t="s">
        <v>280</v>
      </c>
      <c r="G642" s="2" t="s">
        <v>60</v>
      </c>
      <c r="H642" s="2" t="s">
        <v>47</v>
      </c>
      <c r="I642" s="2">
        <v>6</v>
      </c>
      <c r="J642" s="5">
        <v>287205</v>
      </c>
      <c r="K642" s="5">
        <v>25000</v>
      </c>
      <c r="L642" s="2" t="s">
        <v>48</v>
      </c>
      <c r="M642" s="2" t="s">
        <v>71</v>
      </c>
      <c r="N642" s="2" t="s">
        <v>61</v>
      </c>
    </row>
    <row r="643" spans="1:14" x14ac:dyDescent="0.25">
      <c r="A643" s="2" t="s">
        <v>1111</v>
      </c>
      <c r="B643" s="2" t="s">
        <v>161</v>
      </c>
      <c r="C643" s="2" t="s">
        <v>136</v>
      </c>
      <c r="D643" s="4">
        <v>46168</v>
      </c>
      <c r="E643" s="2" t="s">
        <v>41</v>
      </c>
      <c r="F643" s="2" t="s">
        <v>65</v>
      </c>
      <c r="G643" s="2" t="s">
        <v>75</v>
      </c>
      <c r="H643" s="2" t="s">
        <v>47</v>
      </c>
      <c r="I643" s="2">
        <v>6</v>
      </c>
      <c r="J643" s="5">
        <v>878068</v>
      </c>
      <c r="K643" s="5">
        <v>0</v>
      </c>
      <c r="L643" s="2" t="s">
        <v>245</v>
      </c>
      <c r="M643" s="2" t="s">
        <v>67</v>
      </c>
      <c r="N643" s="2" t="s">
        <v>37</v>
      </c>
    </row>
    <row r="644" spans="1:14" x14ac:dyDescent="0.25">
      <c r="A644" s="2" t="s">
        <v>1112</v>
      </c>
      <c r="B644" s="2" t="s">
        <v>121</v>
      </c>
      <c r="C644" s="2" t="s">
        <v>122</v>
      </c>
      <c r="D644" s="4">
        <v>46197</v>
      </c>
      <c r="E644" s="2" t="s">
        <v>80</v>
      </c>
      <c r="F644" s="2" t="s">
        <v>59</v>
      </c>
      <c r="G644" s="2" t="s">
        <v>75</v>
      </c>
      <c r="H644" s="2" t="s">
        <v>66</v>
      </c>
      <c r="I644" s="2">
        <v>2</v>
      </c>
      <c r="J644" s="5">
        <v>1563049</v>
      </c>
      <c r="K644" s="5">
        <v>25000</v>
      </c>
      <c r="L644" s="2" t="s">
        <v>35</v>
      </c>
      <c r="M644" s="2" t="s">
        <v>71</v>
      </c>
      <c r="N644" s="2" t="s">
        <v>61</v>
      </c>
    </row>
    <row r="645" spans="1:14" x14ac:dyDescent="0.25">
      <c r="A645" s="2" t="s">
        <v>1113</v>
      </c>
      <c r="B645" s="2" t="s">
        <v>347</v>
      </c>
      <c r="C645" s="2" t="s">
        <v>276</v>
      </c>
      <c r="D645" s="4">
        <v>46165</v>
      </c>
      <c r="E645" s="2" t="s">
        <v>31</v>
      </c>
      <c r="F645" s="2" t="s">
        <v>59</v>
      </c>
      <c r="G645" s="2" t="s">
        <v>81</v>
      </c>
      <c r="H645" s="2" t="s">
        <v>66</v>
      </c>
      <c r="I645" s="2">
        <v>6</v>
      </c>
      <c r="J645" s="5">
        <v>2415449</v>
      </c>
      <c r="K645" s="5">
        <v>25000</v>
      </c>
      <c r="L645" s="2" t="s">
        <v>35</v>
      </c>
      <c r="M645" s="2" t="s">
        <v>67</v>
      </c>
      <c r="N645" s="2" t="s">
        <v>37</v>
      </c>
    </row>
    <row r="646" spans="1:14" x14ac:dyDescent="0.25">
      <c r="A646" s="2" t="s">
        <v>1114</v>
      </c>
      <c r="B646" s="2" t="s">
        <v>745</v>
      </c>
      <c r="C646" s="2" t="s">
        <v>158</v>
      </c>
      <c r="D646" s="4">
        <v>46160</v>
      </c>
      <c r="E646" s="2" t="s">
        <v>58</v>
      </c>
      <c r="F646" s="2" t="s">
        <v>59</v>
      </c>
      <c r="G646" s="2" t="s">
        <v>33</v>
      </c>
      <c r="H646" s="2" t="s">
        <v>76</v>
      </c>
      <c r="I646" s="2">
        <v>7</v>
      </c>
      <c r="J646" s="5">
        <v>1074501</v>
      </c>
      <c r="K646" s="5">
        <v>25000</v>
      </c>
      <c r="L646" s="2" t="s">
        <v>35</v>
      </c>
      <c r="M646" s="2" t="s">
        <v>71</v>
      </c>
      <c r="N646" s="2" t="s">
        <v>37</v>
      </c>
    </row>
    <row r="647" spans="1:14" x14ac:dyDescent="0.25">
      <c r="A647" s="2" t="s">
        <v>1115</v>
      </c>
      <c r="B647" s="2" t="s">
        <v>138</v>
      </c>
      <c r="C647" s="2" t="s">
        <v>126</v>
      </c>
      <c r="D647" s="4">
        <v>46070</v>
      </c>
      <c r="E647" s="2" t="s">
        <v>41</v>
      </c>
      <c r="F647" s="2" t="s">
        <v>32</v>
      </c>
      <c r="G647" s="2" t="s">
        <v>85</v>
      </c>
      <c r="H647" s="2" t="s">
        <v>34</v>
      </c>
      <c r="I647" s="2">
        <v>3</v>
      </c>
      <c r="J647" s="5">
        <v>1725144</v>
      </c>
      <c r="K647" s="5">
        <v>15000</v>
      </c>
      <c r="L647" s="2" t="s">
        <v>48</v>
      </c>
      <c r="M647" s="2" t="s">
        <v>71</v>
      </c>
      <c r="N647" s="2" t="s">
        <v>37</v>
      </c>
    </row>
    <row r="648" spans="1:14" x14ac:dyDescent="0.25">
      <c r="A648" s="2" t="s">
        <v>1116</v>
      </c>
      <c r="B648" s="2" t="s">
        <v>434</v>
      </c>
      <c r="C648" s="2" t="s">
        <v>435</v>
      </c>
      <c r="D648" s="4">
        <v>46051</v>
      </c>
      <c r="E648" s="2" t="s">
        <v>53</v>
      </c>
      <c r="F648" s="2" t="s">
        <v>32</v>
      </c>
      <c r="G648" s="2" t="s">
        <v>46</v>
      </c>
      <c r="H648" s="2" t="s">
        <v>76</v>
      </c>
      <c r="I648" s="2">
        <v>3</v>
      </c>
      <c r="J648" s="5">
        <v>916035</v>
      </c>
      <c r="K648" s="5">
        <v>50000</v>
      </c>
      <c r="L648" s="2" t="s">
        <v>245</v>
      </c>
      <c r="M648" s="2" t="s">
        <v>36</v>
      </c>
      <c r="N648" s="2" t="s">
        <v>61</v>
      </c>
    </row>
    <row r="649" spans="1:14" x14ac:dyDescent="0.25">
      <c r="A649" s="2" t="s">
        <v>1117</v>
      </c>
      <c r="B649" s="2" t="s">
        <v>344</v>
      </c>
      <c r="C649" s="2" t="s">
        <v>119</v>
      </c>
      <c r="D649" s="4">
        <v>46181</v>
      </c>
      <c r="E649" s="2" t="s">
        <v>41</v>
      </c>
      <c r="F649" s="2" t="s">
        <v>32</v>
      </c>
      <c r="G649" s="2" t="s">
        <v>85</v>
      </c>
      <c r="H649" s="2" t="s">
        <v>66</v>
      </c>
      <c r="I649" s="2">
        <v>1</v>
      </c>
      <c r="J649" s="5">
        <v>438495</v>
      </c>
      <c r="K649" s="5">
        <v>15000</v>
      </c>
      <c r="L649" s="2" t="s">
        <v>35</v>
      </c>
      <c r="M649" s="2" t="s">
        <v>36</v>
      </c>
      <c r="N649" s="2" t="s">
        <v>37</v>
      </c>
    </row>
    <row r="650" spans="1:14" x14ac:dyDescent="0.25">
      <c r="A650" s="2" t="s">
        <v>1118</v>
      </c>
      <c r="B650" s="2" t="s">
        <v>344</v>
      </c>
      <c r="C650" s="2" t="s">
        <v>1119</v>
      </c>
      <c r="D650" s="2" t="s">
        <v>1120</v>
      </c>
      <c r="E650" s="2" t="s">
        <v>80</v>
      </c>
      <c r="F650" s="2" t="s">
        <v>65</v>
      </c>
      <c r="G650" s="2" t="s">
        <v>33</v>
      </c>
      <c r="H650" s="2" t="s">
        <v>34</v>
      </c>
      <c r="I650" s="2">
        <v>7</v>
      </c>
      <c r="J650" s="5">
        <v>1735814</v>
      </c>
      <c r="K650" s="5">
        <v>0</v>
      </c>
      <c r="L650" s="2" t="s">
        <v>89</v>
      </c>
      <c r="M650" s="2" t="s">
        <v>49</v>
      </c>
      <c r="N650" s="2" t="s">
        <v>37</v>
      </c>
    </row>
    <row r="651" spans="1:14" x14ac:dyDescent="0.25">
      <c r="A651" s="2" t="s">
        <v>1121</v>
      </c>
      <c r="B651" s="2" t="s">
        <v>784</v>
      </c>
      <c r="C651" s="2" t="s">
        <v>136</v>
      </c>
      <c r="D651" s="4">
        <v>46033</v>
      </c>
      <c r="E651" s="2" t="s">
        <v>41</v>
      </c>
      <c r="F651" s="2" t="s">
        <v>42</v>
      </c>
      <c r="G651" s="2" t="s">
        <v>75</v>
      </c>
      <c r="H651" s="2" t="s">
        <v>34</v>
      </c>
      <c r="I651" s="2">
        <v>2</v>
      </c>
      <c r="J651" s="5">
        <v>1151394</v>
      </c>
      <c r="K651" s="5">
        <v>50000</v>
      </c>
      <c r="L651" s="2" t="s">
        <v>35</v>
      </c>
      <c r="M651" s="2" t="s">
        <v>443</v>
      </c>
      <c r="N651" s="2" t="s">
        <v>61</v>
      </c>
    </row>
    <row r="652" spans="1:14" x14ac:dyDescent="0.25">
      <c r="A652" s="2" t="s">
        <v>1122</v>
      </c>
      <c r="B652" s="2" t="s">
        <v>811</v>
      </c>
      <c r="C652" s="2" t="s">
        <v>470</v>
      </c>
      <c r="D652" s="4">
        <v>46080</v>
      </c>
      <c r="E652" s="2" t="s">
        <v>58</v>
      </c>
      <c r="F652" s="2" t="s">
        <v>59</v>
      </c>
      <c r="G652" s="2" t="s">
        <v>60</v>
      </c>
      <c r="H652" s="2" t="s">
        <v>47</v>
      </c>
      <c r="I652" s="2">
        <v>2</v>
      </c>
      <c r="J652" s="5">
        <v>1966986</v>
      </c>
      <c r="K652" s="5">
        <v>15000</v>
      </c>
      <c r="L652" s="2" t="s">
        <v>35</v>
      </c>
      <c r="M652" s="2" t="s">
        <v>67</v>
      </c>
      <c r="N652" s="2" t="s">
        <v>61</v>
      </c>
    </row>
    <row r="653" spans="1:14" x14ac:dyDescent="0.25">
      <c r="A653" s="2" t="s">
        <v>1123</v>
      </c>
      <c r="B653" s="2" t="s">
        <v>100</v>
      </c>
      <c r="C653" s="2" t="s">
        <v>101</v>
      </c>
      <c r="D653" s="4">
        <v>46070</v>
      </c>
      <c r="E653" s="2" t="s">
        <v>41</v>
      </c>
      <c r="F653" s="2" t="s">
        <v>32</v>
      </c>
      <c r="G653" s="2" t="s">
        <v>75</v>
      </c>
      <c r="H653" s="2" t="s">
        <v>66</v>
      </c>
      <c r="I653" s="2">
        <v>4</v>
      </c>
      <c r="J653" s="5">
        <v>2295046</v>
      </c>
      <c r="K653" s="5">
        <v>50000</v>
      </c>
      <c r="L653" s="2" t="s">
        <v>35</v>
      </c>
      <c r="M653" s="2" t="s">
        <v>71</v>
      </c>
      <c r="N653" s="2" t="s">
        <v>37</v>
      </c>
    </row>
    <row r="654" spans="1:14" x14ac:dyDescent="0.25">
      <c r="A654" s="2" t="s">
        <v>1124</v>
      </c>
      <c r="B654" s="2" t="s">
        <v>450</v>
      </c>
      <c r="C654" s="2" t="s">
        <v>219</v>
      </c>
      <c r="D654" s="4">
        <v>46117</v>
      </c>
      <c r="E654" s="2" t="s">
        <v>31</v>
      </c>
      <c r="F654" s="2" t="s">
        <v>32</v>
      </c>
      <c r="G654" s="2" t="s">
        <v>75</v>
      </c>
      <c r="H654" s="2" t="s">
        <v>34</v>
      </c>
      <c r="I654" s="2">
        <v>3</v>
      </c>
      <c r="J654" s="5" t="s">
        <v>1125</v>
      </c>
      <c r="K654" s="5">
        <v>15000</v>
      </c>
      <c r="L654" s="2" t="s">
        <v>35</v>
      </c>
      <c r="M654" s="2" t="s">
        <v>67</v>
      </c>
      <c r="N654" s="2" t="s">
        <v>61</v>
      </c>
    </row>
    <row r="655" spans="1:14" x14ac:dyDescent="0.25">
      <c r="A655" s="2" t="s">
        <v>1126</v>
      </c>
      <c r="B655" s="2" t="s">
        <v>932</v>
      </c>
      <c r="C655" s="2" t="s">
        <v>727</v>
      </c>
      <c r="D655" s="4">
        <v>46152</v>
      </c>
      <c r="E655" s="2" t="s">
        <v>31</v>
      </c>
      <c r="F655" s="2" t="s">
        <v>32</v>
      </c>
      <c r="G655" s="2" t="s">
        <v>75</v>
      </c>
      <c r="H655" s="2" t="s">
        <v>76</v>
      </c>
      <c r="I655" s="2">
        <v>3</v>
      </c>
      <c r="J655" s="5">
        <v>2115388</v>
      </c>
      <c r="K655" s="5">
        <v>50000</v>
      </c>
      <c r="L655" s="2" t="s">
        <v>35</v>
      </c>
      <c r="M655" s="2" t="s">
        <v>71</v>
      </c>
      <c r="N655" s="2" t="s">
        <v>61</v>
      </c>
    </row>
    <row r="656" spans="1:14" x14ac:dyDescent="0.25">
      <c r="A656" s="2" t="s">
        <v>1127</v>
      </c>
      <c r="B656" s="2" t="s">
        <v>83</v>
      </c>
      <c r="C656" s="2" t="s">
        <v>84</v>
      </c>
      <c r="D656" s="4">
        <v>46091</v>
      </c>
      <c r="E656" s="2" t="s">
        <v>58</v>
      </c>
      <c r="F656" s="2" t="s">
        <v>42</v>
      </c>
      <c r="G656" s="2" t="s">
        <v>81</v>
      </c>
      <c r="H656" s="2" t="s">
        <v>76</v>
      </c>
      <c r="I656" s="2">
        <v>5</v>
      </c>
      <c r="J656" s="5">
        <v>343143</v>
      </c>
      <c r="K656" s="5">
        <v>35000</v>
      </c>
      <c r="L656" s="2" t="s">
        <v>177</v>
      </c>
      <c r="M656" s="2" t="s">
        <v>36</v>
      </c>
      <c r="N656" s="2" t="s">
        <v>37</v>
      </c>
    </row>
    <row r="657" spans="1:14" x14ac:dyDescent="0.25">
      <c r="A657" s="2" t="s">
        <v>1128</v>
      </c>
      <c r="B657" s="2" t="s">
        <v>1129</v>
      </c>
      <c r="C657" s="2" t="s">
        <v>208</v>
      </c>
      <c r="D657" s="4">
        <v>46189</v>
      </c>
      <c r="E657" s="2" t="s">
        <v>58</v>
      </c>
      <c r="F657" s="2" t="s">
        <v>32</v>
      </c>
      <c r="G657" s="2" t="s">
        <v>46</v>
      </c>
      <c r="H657" s="2" t="s">
        <v>66</v>
      </c>
      <c r="I657" s="2">
        <v>4</v>
      </c>
      <c r="J657" s="5">
        <v>361364</v>
      </c>
      <c r="K657" s="5">
        <v>25000</v>
      </c>
      <c r="L657" s="2" t="s">
        <v>48</v>
      </c>
      <c r="M657" s="2" t="s">
        <v>71</v>
      </c>
      <c r="N657" s="2" t="s">
        <v>61</v>
      </c>
    </row>
    <row r="658" spans="1:14" x14ac:dyDescent="0.25">
      <c r="A658" s="2" t="s">
        <v>1130</v>
      </c>
      <c r="B658" s="2" t="s">
        <v>530</v>
      </c>
      <c r="C658" s="2" t="s">
        <v>382</v>
      </c>
      <c r="D658" s="4">
        <v>46176</v>
      </c>
      <c r="E658" s="2" t="s">
        <v>41</v>
      </c>
      <c r="F658" s="2" t="s">
        <v>42</v>
      </c>
      <c r="G658" s="2" t="s">
        <v>75</v>
      </c>
      <c r="H658" s="2" t="s">
        <v>337</v>
      </c>
      <c r="I658" s="2">
        <v>6</v>
      </c>
      <c r="J658" s="5">
        <v>2178605</v>
      </c>
      <c r="K658" s="5">
        <v>35000</v>
      </c>
      <c r="L658" s="2" t="s">
        <v>35</v>
      </c>
      <c r="M658" s="2" t="s">
        <v>67</v>
      </c>
      <c r="N658" s="2" t="s">
        <v>37</v>
      </c>
    </row>
    <row r="659" spans="1:14" x14ac:dyDescent="0.25">
      <c r="A659" s="2" t="s">
        <v>1131</v>
      </c>
      <c r="B659" s="2" t="s">
        <v>125</v>
      </c>
      <c r="C659" s="2" t="s">
        <v>126</v>
      </c>
      <c r="D659" s="2" t="s">
        <v>1132</v>
      </c>
      <c r="E659" s="2" t="s">
        <v>41</v>
      </c>
      <c r="F659" s="2" t="s">
        <v>42</v>
      </c>
      <c r="G659" s="2" t="s">
        <v>46</v>
      </c>
      <c r="H659" s="2" t="s">
        <v>76</v>
      </c>
      <c r="I659" s="2">
        <v>2</v>
      </c>
      <c r="J659" s="5">
        <v>1397841</v>
      </c>
      <c r="K659" s="5">
        <v>25000</v>
      </c>
      <c r="L659" s="2" t="s">
        <v>35</v>
      </c>
      <c r="M659" s="2" t="s">
        <v>71</v>
      </c>
      <c r="N659" s="2" t="s">
        <v>37</v>
      </c>
    </row>
    <row r="660" spans="1:14" x14ac:dyDescent="0.25">
      <c r="A660" s="2" t="s">
        <v>1133</v>
      </c>
      <c r="B660" s="2" t="s">
        <v>73</v>
      </c>
      <c r="C660" s="2" t="s">
        <v>74</v>
      </c>
      <c r="D660" s="4">
        <v>46024</v>
      </c>
      <c r="E660" s="2" t="s">
        <v>53</v>
      </c>
      <c r="F660" s="2" t="s">
        <v>65</v>
      </c>
      <c r="G660" s="2" t="s">
        <v>46</v>
      </c>
      <c r="H660" s="2" t="s">
        <v>47</v>
      </c>
      <c r="I660" s="2">
        <v>5</v>
      </c>
      <c r="J660" s="5">
        <v>342176</v>
      </c>
      <c r="K660" s="5">
        <v>25000</v>
      </c>
      <c r="L660" s="2" t="s">
        <v>35</v>
      </c>
      <c r="M660" s="2" t="s">
        <v>49</v>
      </c>
      <c r="N660" s="2" t="s">
        <v>61</v>
      </c>
    </row>
    <row r="661" spans="1:14" x14ac:dyDescent="0.25">
      <c r="A661" s="2" t="s">
        <v>1134</v>
      </c>
      <c r="B661" s="2" t="s">
        <v>820</v>
      </c>
      <c r="C661" s="2" t="s">
        <v>260</v>
      </c>
      <c r="D661" s="4">
        <v>46072</v>
      </c>
      <c r="E661" s="2" t="s">
        <v>31</v>
      </c>
      <c r="F661" s="2" t="s">
        <v>65</v>
      </c>
      <c r="G661" s="2" t="s">
        <v>75</v>
      </c>
      <c r="H661" s="2" t="s">
        <v>47</v>
      </c>
      <c r="I661" s="2">
        <v>7</v>
      </c>
      <c r="J661" s="5">
        <v>1163540</v>
      </c>
      <c r="K661" s="5">
        <v>50000</v>
      </c>
      <c r="L661" s="2" t="s">
        <v>35</v>
      </c>
      <c r="M661" s="2" t="s">
        <v>67</v>
      </c>
      <c r="N661" s="2" t="s">
        <v>61</v>
      </c>
    </row>
    <row r="662" spans="1:14" x14ac:dyDescent="0.25">
      <c r="A662" s="2" t="s">
        <v>1135</v>
      </c>
      <c r="B662" s="2" t="s">
        <v>1136</v>
      </c>
      <c r="C662" s="2" t="s">
        <v>224</v>
      </c>
      <c r="D662" s="4">
        <v>46045</v>
      </c>
      <c r="E662" s="2" t="s">
        <v>41</v>
      </c>
      <c r="F662" s="2" t="s">
        <v>59</v>
      </c>
      <c r="G662" s="2" t="s">
        <v>75</v>
      </c>
      <c r="H662" s="2" t="s">
        <v>47</v>
      </c>
      <c r="I662" s="2">
        <v>5</v>
      </c>
      <c r="J662" s="5">
        <v>514941</v>
      </c>
      <c r="K662" s="5">
        <v>35000</v>
      </c>
      <c r="L662" s="2" t="s">
        <v>35</v>
      </c>
      <c r="M662" s="2" t="s">
        <v>36</v>
      </c>
      <c r="N662" s="2" t="s">
        <v>61</v>
      </c>
    </row>
    <row r="663" spans="1:14" x14ac:dyDescent="0.25">
      <c r="A663" s="2" t="s">
        <v>1137</v>
      </c>
      <c r="B663" s="2" t="s">
        <v>250</v>
      </c>
      <c r="C663" s="2" t="s">
        <v>204</v>
      </c>
      <c r="D663" s="4">
        <v>46110</v>
      </c>
      <c r="E663" s="2" t="s">
        <v>80</v>
      </c>
      <c r="F663" s="2" t="s">
        <v>59</v>
      </c>
      <c r="G663" s="2" t="s">
        <v>81</v>
      </c>
      <c r="H663" s="2" t="s">
        <v>34</v>
      </c>
      <c r="I663" s="2">
        <v>3</v>
      </c>
      <c r="J663" s="5">
        <v>887514</v>
      </c>
      <c r="K663" s="5">
        <v>0</v>
      </c>
      <c r="L663" s="2" t="s">
        <v>35</v>
      </c>
      <c r="M663" s="2" t="s">
        <v>36</v>
      </c>
      <c r="N663" s="2" t="s">
        <v>37</v>
      </c>
    </row>
    <row r="664" spans="1:14" x14ac:dyDescent="0.25">
      <c r="A664" s="2" t="s">
        <v>1138</v>
      </c>
      <c r="B664" s="2" t="s">
        <v>573</v>
      </c>
      <c r="C664" s="2" t="s">
        <v>195</v>
      </c>
      <c r="D664" s="4">
        <v>46074</v>
      </c>
      <c r="E664" s="2" t="s">
        <v>58</v>
      </c>
      <c r="F664" s="2" t="s">
        <v>32</v>
      </c>
      <c r="G664" s="2" t="s">
        <v>351</v>
      </c>
      <c r="H664" s="2" t="s">
        <v>76</v>
      </c>
      <c r="I664" s="2">
        <v>6</v>
      </c>
      <c r="J664" s="5">
        <v>1070597</v>
      </c>
      <c r="K664" s="5">
        <v>25000</v>
      </c>
      <c r="L664" s="2" t="s">
        <v>35</v>
      </c>
      <c r="M664" s="2" t="s">
        <v>67</v>
      </c>
      <c r="N664" s="2" t="s">
        <v>61</v>
      </c>
    </row>
    <row r="665" spans="1:14" x14ac:dyDescent="0.25">
      <c r="A665" s="2" t="s">
        <v>1139</v>
      </c>
      <c r="B665" s="2" t="s">
        <v>63</v>
      </c>
      <c r="C665" s="2" t="s">
        <v>64</v>
      </c>
      <c r="D665" s="2"/>
      <c r="E665" s="2" t="s">
        <v>58</v>
      </c>
      <c r="F665" s="2" t="s">
        <v>65</v>
      </c>
      <c r="G665" s="2" t="s">
        <v>33</v>
      </c>
      <c r="H665" s="2" t="s">
        <v>47</v>
      </c>
      <c r="I665" s="2">
        <v>2</v>
      </c>
      <c r="J665" s="5">
        <v>1685091</v>
      </c>
      <c r="K665" s="5">
        <v>0</v>
      </c>
      <c r="L665" s="2" t="s">
        <v>35</v>
      </c>
      <c r="M665" s="2" t="s">
        <v>49</v>
      </c>
      <c r="N665" s="2" t="s">
        <v>37</v>
      </c>
    </row>
    <row r="666" spans="1:14" x14ac:dyDescent="0.25">
      <c r="A666" s="2" t="s">
        <v>1140</v>
      </c>
      <c r="B666" s="2" t="s">
        <v>292</v>
      </c>
      <c r="C666" s="2" t="s">
        <v>152</v>
      </c>
      <c r="D666" s="4">
        <v>46168</v>
      </c>
      <c r="E666" s="2" t="s">
        <v>53</v>
      </c>
      <c r="F666" s="2" t="s">
        <v>59</v>
      </c>
      <c r="G666" s="2" t="s">
        <v>85</v>
      </c>
      <c r="H666" s="2" t="s">
        <v>76</v>
      </c>
      <c r="I666" s="2">
        <v>7</v>
      </c>
      <c r="J666" s="5">
        <v>2482922</v>
      </c>
      <c r="K666" s="5">
        <v>25000</v>
      </c>
      <c r="L666" s="2" t="s">
        <v>35</v>
      </c>
      <c r="M666" s="2" t="s">
        <v>67</v>
      </c>
      <c r="N666" s="2" t="s">
        <v>61</v>
      </c>
    </row>
    <row r="667" spans="1:14" x14ac:dyDescent="0.25">
      <c r="A667" s="2" t="s">
        <v>1141</v>
      </c>
      <c r="B667" s="2" t="s">
        <v>987</v>
      </c>
      <c r="C667" s="2" t="s">
        <v>229</v>
      </c>
      <c r="D667" s="4">
        <v>46047</v>
      </c>
      <c r="E667" s="2" t="s">
        <v>31</v>
      </c>
      <c r="F667" s="2" t="s">
        <v>42</v>
      </c>
      <c r="G667" s="2" t="s">
        <v>60</v>
      </c>
      <c r="H667" s="2" t="s">
        <v>54</v>
      </c>
      <c r="I667" s="2">
        <v>3</v>
      </c>
      <c r="J667" s="5">
        <v>768737</v>
      </c>
      <c r="K667" s="5">
        <v>50000</v>
      </c>
      <c r="L667" s="2" t="s">
        <v>35</v>
      </c>
      <c r="M667" s="2" t="s">
        <v>71</v>
      </c>
      <c r="N667" s="2" t="s">
        <v>61</v>
      </c>
    </row>
    <row r="668" spans="1:14" x14ac:dyDescent="0.25">
      <c r="A668" s="2" t="s">
        <v>1142</v>
      </c>
      <c r="B668" s="2" t="s">
        <v>265</v>
      </c>
      <c r="C668" s="2" t="s">
        <v>266</v>
      </c>
      <c r="D668" s="4">
        <v>46160</v>
      </c>
      <c r="E668" s="2" t="s">
        <v>53</v>
      </c>
      <c r="F668" s="2" t="s">
        <v>915</v>
      </c>
      <c r="G668" s="2" t="s">
        <v>81</v>
      </c>
      <c r="H668" s="2" t="s">
        <v>47</v>
      </c>
      <c r="I668" s="2">
        <v>3</v>
      </c>
      <c r="J668" s="5"/>
      <c r="K668" s="5">
        <v>25000</v>
      </c>
      <c r="L668" s="2" t="s">
        <v>35</v>
      </c>
      <c r="M668" s="2" t="s">
        <v>338</v>
      </c>
      <c r="N668" s="2" t="s">
        <v>61</v>
      </c>
    </row>
    <row r="669" spans="1:14" x14ac:dyDescent="0.25">
      <c r="A669" s="2" t="s">
        <v>1143</v>
      </c>
      <c r="B669" s="2" t="s">
        <v>44</v>
      </c>
      <c r="C669" s="2" t="s">
        <v>45</v>
      </c>
      <c r="D669" s="4">
        <v>46062</v>
      </c>
      <c r="E669" s="2" t="s">
        <v>41</v>
      </c>
      <c r="F669" s="2" t="s">
        <v>65</v>
      </c>
      <c r="G669" s="2" t="s">
        <v>75</v>
      </c>
      <c r="H669" s="2" t="s">
        <v>76</v>
      </c>
      <c r="I669" s="2">
        <v>6</v>
      </c>
      <c r="J669" s="5">
        <v>1535144</v>
      </c>
      <c r="K669" s="5">
        <v>35000</v>
      </c>
      <c r="L669" s="2" t="s">
        <v>35</v>
      </c>
      <c r="M669" s="2" t="s">
        <v>36</v>
      </c>
      <c r="N669" s="2" t="s">
        <v>61</v>
      </c>
    </row>
    <row r="670" spans="1:14" x14ac:dyDescent="0.25">
      <c r="A670" s="2" t="s">
        <v>1144</v>
      </c>
      <c r="B670" s="2" t="s">
        <v>858</v>
      </c>
      <c r="C670" s="2" t="s">
        <v>64</v>
      </c>
      <c r="D670" s="4">
        <v>46086</v>
      </c>
      <c r="E670" s="2" t="s">
        <v>58</v>
      </c>
      <c r="F670" s="2" t="s">
        <v>32</v>
      </c>
      <c r="G670" s="2" t="s">
        <v>81</v>
      </c>
      <c r="H670" s="2" t="s">
        <v>47</v>
      </c>
      <c r="I670" s="2">
        <v>2</v>
      </c>
      <c r="J670" s="5">
        <v>1653829</v>
      </c>
      <c r="K670" s="5">
        <v>15000</v>
      </c>
      <c r="L670" s="2" t="s">
        <v>89</v>
      </c>
      <c r="M670" s="2" t="s">
        <v>49</v>
      </c>
      <c r="N670" s="2" t="s">
        <v>61</v>
      </c>
    </row>
    <row r="671" spans="1:14" x14ac:dyDescent="0.25">
      <c r="A671" s="2" t="s">
        <v>1145</v>
      </c>
      <c r="B671" s="2" t="s">
        <v>532</v>
      </c>
      <c r="C671" s="2" t="s">
        <v>98</v>
      </c>
      <c r="D671" s="4">
        <v>46156</v>
      </c>
      <c r="E671" s="2" t="s">
        <v>53</v>
      </c>
      <c r="F671" s="2" t="s">
        <v>59</v>
      </c>
      <c r="G671" s="2" t="s">
        <v>46</v>
      </c>
      <c r="H671" s="2" t="s">
        <v>34</v>
      </c>
      <c r="I671" s="2">
        <v>5</v>
      </c>
      <c r="J671" s="5">
        <v>501486</v>
      </c>
      <c r="K671" s="5">
        <v>25000</v>
      </c>
      <c r="L671" s="2" t="s">
        <v>35</v>
      </c>
      <c r="M671" s="2" t="s">
        <v>36</v>
      </c>
      <c r="N671" s="2" t="s">
        <v>37</v>
      </c>
    </row>
    <row r="672" spans="1:14" x14ac:dyDescent="0.25">
      <c r="A672" s="2" t="s">
        <v>1146</v>
      </c>
      <c r="B672" s="2" t="s">
        <v>737</v>
      </c>
      <c r="C672" s="2" t="s">
        <v>158</v>
      </c>
      <c r="D672" s="4">
        <v>46057</v>
      </c>
      <c r="E672" s="2" t="s">
        <v>41</v>
      </c>
      <c r="F672" s="2" t="s">
        <v>59</v>
      </c>
      <c r="G672" s="2" t="s">
        <v>81</v>
      </c>
      <c r="H672" s="2" t="s">
        <v>47</v>
      </c>
      <c r="I672" s="2">
        <v>3</v>
      </c>
      <c r="J672" s="5">
        <v>1998647</v>
      </c>
      <c r="K672" s="5">
        <v>15000</v>
      </c>
      <c r="L672" s="2" t="s">
        <v>245</v>
      </c>
      <c r="M672" s="2" t="s">
        <v>36</v>
      </c>
      <c r="N672" s="2" t="s">
        <v>61</v>
      </c>
    </row>
    <row r="673" spans="1:14" x14ac:dyDescent="0.25">
      <c r="A673" s="2" t="s">
        <v>1147</v>
      </c>
      <c r="B673" s="2" t="s">
        <v>807</v>
      </c>
      <c r="C673" s="2" t="s">
        <v>219</v>
      </c>
      <c r="D673" s="4">
        <v>46049</v>
      </c>
      <c r="E673" s="2" t="s">
        <v>80</v>
      </c>
      <c r="F673" s="2" t="s">
        <v>65</v>
      </c>
      <c r="G673" s="2" t="s">
        <v>46</v>
      </c>
      <c r="H673" s="2" t="s">
        <v>54</v>
      </c>
      <c r="I673" s="2">
        <v>4</v>
      </c>
      <c r="J673" s="5">
        <v>1468529</v>
      </c>
      <c r="K673" s="5">
        <v>50000</v>
      </c>
      <c r="L673" s="2" t="s">
        <v>123</v>
      </c>
      <c r="M673" s="2" t="s">
        <v>67</v>
      </c>
      <c r="N673" s="2" t="s">
        <v>61</v>
      </c>
    </row>
    <row r="674" spans="1:14" x14ac:dyDescent="0.25">
      <c r="A674" s="2" t="s">
        <v>1148</v>
      </c>
      <c r="B674" s="2" t="s">
        <v>300</v>
      </c>
      <c r="C674" s="2" t="s">
        <v>107</v>
      </c>
      <c r="D674" s="4">
        <v>46101</v>
      </c>
      <c r="E674" s="2" t="s">
        <v>58</v>
      </c>
      <c r="F674" s="2" t="s">
        <v>65</v>
      </c>
      <c r="G674" s="2" t="s">
        <v>33</v>
      </c>
      <c r="H674" s="2" t="s">
        <v>47</v>
      </c>
      <c r="I674" s="2">
        <v>6</v>
      </c>
      <c r="J674" s="5">
        <v>2396613</v>
      </c>
      <c r="K674" s="5">
        <v>15000</v>
      </c>
      <c r="L674" s="2" t="s">
        <v>35</v>
      </c>
      <c r="M674" s="2" t="s">
        <v>67</v>
      </c>
      <c r="N674" s="2" t="s">
        <v>61</v>
      </c>
    </row>
    <row r="675" spans="1:14" x14ac:dyDescent="0.25">
      <c r="A675" s="2" t="s">
        <v>1149</v>
      </c>
      <c r="B675" s="2" t="s">
        <v>635</v>
      </c>
      <c r="C675" s="2" t="s">
        <v>636</v>
      </c>
      <c r="D675" s="4">
        <v>46160</v>
      </c>
      <c r="E675" s="2" t="s">
        <v>53</v>
      </c>
      <c r="F675" s="2" t="s">
        <v>32</v>
      </c>
      <c r="G675" s="2" t="s">
        <v>75</v>
      </c>
      <c r="H675" s="2" t="s">
        <v>130</v>
      </c>
      <c r="I675" s="2">
        <v>6</v>
      </c>
      <c r="J675" s="5">
        <v>339929</v>
      </c>
      <c r="K675" s="5">
        <v>35000</v>
      </c>
      <c r="L675" s="2" t="s">
        <v>35</v>
      </c>
      <c r="M675" s="2" t="s">
        <v>71</v>
      </c>
      <c r="N675" s="2" t="s">
        <v>61</v>
      </c>
    </row>
    <row r="676" spans="1:14" x14ac:dyDescent="0.25">
      <c r="A676" s="2" t="s">
        <v>1150</v>
      </c>
      <c r="B676" s="2" t="s">
        <v>207</v>
      </c>
      <c r="C676" s="2" t="s">
        <v>1151</v>
      </c>
      <c r="D676" s="4">
        <v>46140</v>
      </c>
      <c r="E676" s="2" t="s">
        <v>41</v>
      </c>
      <c r="F676" s="2" t="s">
        <v>42</v>
      </c>
      <c r="G676" s="2" t="s">
        <v>46</v>
      </c>
      <c r="H676" s="2" t="s">
        <v>76</v>
      </c>
      <c r="I676" s="2">
        <v>6</v>
      </c>
      <c r="J676" s="5">
        <v>898904</v>
      </c>
      <c r="K676" s="5">
        <v>15000</v>
      </c>
      <c r="L676" s="2" t="s">
        <v>35</v>
      </c>
      <c r="M676" s="2" t="s">
        <v>36</v>
      </c>
      <c r="N676" s="2" t="s">
        <v>61</v>
      </c>
    </row>
    <row r="677" spans="1:14" x14ac:dyDescent="0.25">
      <c r="A677" s="2" t="s">
        <v>1152</v>
      </c>
      <c r="B677" s="2" t="s">
        <v>56</v>
      </c>
      <c r="C677" s="2" t="s">
        <v>57</v>
      </c>
      <c r="D677" s="4">
        <v>46120</v>
      </c>
      <c r="E677" s="2" t="s">
        <v>80</v>
      </c>
      <c r="F677" s="2" t="s">
        <v>42</v>
      </c>
      <c r="G677" s="2" t="s">
        <v>60</v>
      </c>
      <c r="H677" s="2" t="s">
        <v>34</v>
      </c>
      <c r="I677" s="2">
        <v>3</v>
      </c>
      <c r="J677" s="5">
        <v>984151</v>
      </c>
      <c r="K677" s="5">
        <v>0</v>
      </c>
      <c r="L677" s="2" t="s">
        <v>35</v>
      </c>
      <c r="M677" s="2" t="s">
        <v>67</v>
      </c>
      <c r="N677" s="2" t="s">
        <v>37</v>
      </c>
    </row>
    <row r="678" spans="1:14" x14ac:dyDescent="0.25">
      <c r="A678" s="2" t="s">
        <v>1153</v>
      </c>
      <c r="B678" s="2" t="s">
        <v>688</v>
      </c>
      <c r="C678" s="2" t="s">
        <v>689</v>
      </c>
      <c r="D678" s="4">
        <v>46125</v>
      </c>
      <c r="E678" s="2" t="s">
        <v>80</v>
      </c>
      <c r="F678" s="2" t="s">
        <v>59</v>
      </c>
      <c r="G678" s="2" t="s">
        <v>75</v>
      </c>
      <c r="H678" s="2" t="s">
        <v>76</v>
      </c>
      <c r="I678" s="2">
        <v>2</v>
      </c>
      <c r="J678" s="5">
        <v>307723</v>
      </c>
      <c r="K678" s="5">
        <v>15000</v>
      </c>
      <c r="L678" s="2" t="s">
        <v>35</v>
      </c>
      <c r="M678" s="2" t="s">
        <v>36</v>
      </c>
      <c r="N678" s="2" t="s">
        <v>37</v>
      </c>
    </row>
    <row r="679" spans="1:14" x14ac:dyDescent="0.25">
      <c r="A679" s="2" t="s">
        <v>1154</v>
      </c>
      <c r="B679" s="2" t="s">
        <v>874</v>
      </c>
      <c r="C679" s="2" t="s">
        <v>393</v>
      </c>
      <c r="D679" s="4">
        <v>46190</v>
      </c>
      <c r="E679" s="2" t="s">
        <v>205</v>
      </c>
      <c r="F679" s="2" t="s">
        <v>32</v>
      </c>
      <c r="G679" s="2" t="s">
        <v>85</v>
      </c>
      <c r="H679" s="2" t="s">
        <v>47</v>
      </c>
      <c r="I679" s="2">
        <v>6</v>
      </c>
      <c r="J679" s="5">
        <v>1263429</v>
      </c>
      <c r="K679" s="5">
        <v>35000</v>
      </c>
      <c r="L679" s="2" t="s">
        <v>35</v>
      </c>
      <c r="M679" s="2" t="s">
        <v>71</v>
      </c>
      <c r="N679" s="2" t="s">
        <v>37</v>
      </c>
    </row>
    <row r="680" spans="1:14" x14ac:dyDescent="0.25">
      <c r="A680" s="2" t="s">
        <v>1155</v>
      </c>
      <c r="B680" s="2" t="s">
        <v>154</v>
      </c>
      <c r="C680" s="2" t="s">
        <v>84</v>
      </c>
      <c r="D680" s="4">
        <v>46025</v>
      </c>
      <c r="E680" s="2" t="s">
        <v>31</v>
      </c>
      <c r="F680" s="2" t="s">
        <v>65</v>
      </c>
      <c r="G680" s="2" t="s">
        <v>75</v>
      </c>
      <c r="H680" s="2" t="s">
        <v>54</v>
      </c>
      <c r="I680" s="2">
        <v>6</v>
      </c>
      <c r="J680" s="5">
        <v>1778715</v>
      </c>
      <c r="K680" s="5">
        <v>0</v>
      </c>
      <c r="L680" s="2" t="s">
        <v>35</v>
      </c>
      <c r="M680" s="2" t="s">
        <v>67</v>
      </c>
      <c r="N680" s="2" t="s">
        <v>61</v>
      </c>
    </row>
    <row r="681" spans="1:14" x14ac:dyDescent="0.25">
      <c r="A681" s="2" t="s">
        <v>1156</v>
      </c>
      <c r="B681" s="2" t="s">
        <v>764</v>
      </c>
      <c r="C681" s="2" t="s">
        <v>370</v>
      </c>
      <c r="D681" s="4">
        <v>46148</v>
      </c>
      <c r="E681" s="2" t="s">
        <v>80</v>
      </c>
      <c r="F681" s="2" t="s">
        <v>59</v>
      </c>
      <c r="G681" s="2" t="s">
        <v>147</v>
      </c>
      <c r="H681" s="2" t="s">
        <v>76</v>
      </c>
      <c r="I681" s="2">
        <v>5</v>
      </c>
      <c r="J681" s="5">
        <v>398922</v>
      </c>
      <c r="K681" s="5">
        <v>15000</v>
      </c>
      <c r="L681" s="2" t="s">
        <v>35</v>
      </c>
      <c r="M681" s="2" t="s">
        <v>49</v>
      </c>
      <c r="N681" s="2" t="s">
        <v>37</v>
      </c>
    </row>
    <row r="682" spans="1:14" x14ac:dyDescent="0.25">
      <c r="A682" s="2" t="s">
        <v>1157</v>
      </c>
      <c r="B682" s="2" t="s">
        <v>302</v>
      </c>
      <c r="C682" s="2" t="s">
        <v>111</v>
      </c>
      <c r="D682" s="4">
        <v>46168</v>
      </c>
      <c r="E682" s="2" t="s">
        <v>31</v>
      </c>
      <c r="F682" s="2" t="s">
        <v>65</v>
      </c>
      <c r="G682" s="2" t="s">
        <v>46</v>
      </c>
      <c r="H682" s="2" t="s">
        <v>47</v>
      </c>
      <c r="I682" s="2">
        <v>7</v>
      </c>
      <c r="J682" s="5">
        <v>1216807</v>
      </c>
      <c r="K682" s="5">
        <v>0</v>
      </c>
      <c r="L682" s="2" t="s">
        <v>35</v>
      </c>
      <c r="M682" s="2" t="s">
        <v>71</v>
      </c>
      <c r="N682" s="2" t="s">
        <v>61</v>
      </c>
    </row>
    <row r="683" spans="1:14" x14ac:dyDescent="0.25">
      <c r="A683" s="2" t="s">
        <v>1158</v>
      </c>
      <c r="B683" s="2" t="s">
        <v>39</v>
      </c>
      <c r="C683" s="2" t="s">
        <v>40</v>
      </c>
      <c r="D683" s="4">
        <v>46155</v>
      </c>
      <c r="E683" s="2" t="s">
        <v>41</v>
      </c>
      <c r="F683" s="2" t="s">
        <v>42</v>
      </c>
      <c r="G683" s="2" t="s">
        <v>81</v>
      </c>
      <c r="H683" s="2" t="s">
        <v>54</v>
      </c>
      <c r="I683" s="2">
        <v>4</v>
      </c>
      <c r="J683" s="5">
        <v>269716</v>
      </c>
      <c r="K683" s="5">
        <v>35000</v>
      </c>
      <c r="L683" s="2" t="s">
        <v>35</v>
      </c>
      <c r="M683" s="2" t="s">
        <v>67</v>
      </c>
      <c r="N683" s="2" t="s">
        <v>61</v>
      </c>
    </row>
    <row r="684" spans="1:14" x14ac:dyDescent="0.25">
      <c r="A684" s="2" t="s">
        <v>1159</v>
      </c>
      <c r="B684" s="2" t="s">
        <v>417</v>
      </c>
      <c r="C684" s="2" t="s">
        <v>70</v>
      </c>
      <c r="D684" s="4">
        <v>46180</v>
      </c>
      <c r="E684" s="2" t="s">
        <v>58</v>
      </c>
      <c r="F684" s="2" t="s">
        <v>42</v>
      </c>
      <c r="G684" s="2" t="s">
        <v>85</v>
      </c>
      <c r="H684" s="2" t="s">
        <v>66</v>
      </c>
      <c r="I684" s="2"/>
      <c r="J684" s="5">
        <v>1675675</v>
      </c>
      <c r="K684" s="5">
        <v>35000</v>
      </c>
      <c r="L684" s="2" t="s">
        <v>35</v>
      </c>
      <c r="M684" s="2" t="s">
        <v>36</v>
      </c>
      <c r="N684" s="2" t="s">
        <v>61</v>
      </c>
    </row>
    <row r="685" spans="1:14" x14ac:dyDescent="0.25">
      <c r="A685" s="2" t="s">
        <v>1160</v>
      </c>
      <c r="B685" s="2" t="s">
        <v>413</v>
      </c>
      <c r="C685" s="2" t="s">
        <v>122</v>
      </c>
      <c r="D685" s="4">
        <v>46026</v>
      </c>
      <c r="E685" s="2" t="s">
        <v>31</v>
      </c>
      <c r="F685" s="2" t="s">
        <v>280</v>
      </c>
      <c r="G685" s="2" t="s">
        <v>60</v>
      </c>
      <c r="H685" s="2" t="s">
        <v>47</v>
      </c>
      <c r="I685" s="2">
        <v>7</v>
      </c>
      <c r="J685" s="5">
        <v>760514</v>
      </c>
      <c r="K685" s="5">
        <v>25000</v>
      </c>
      <c r="L685" s="2" t="s">
        <v>89</v>
      </c>
      <c r="M685" s="2" t="s">
        <v>71</v>
      </c>
      <c r="N685" s="2" t="s">
        <v>61</v>
      </c>
    </row>
    <row r="686" spans="1:14" x14ac:dyDescent="0.25">
      <c r="A686" s="2" t="s">
        <v>1161</v>
      </c>
      <c r="B686" s="2" t="s">
        <v>330</v>
      </c>
      <c r="C686" s="2" t="s">
        <v>98</v>
      </c>
      <c r="D686" s="4">
        <v>46152</v>
      </c>
      <c r="E686" s="2" t="s">
        <v>41</v>
      </c>
      <c r="F686" s="2" t="s">
        <v>65</v>
      </c>
      <c r="G686" s="2" t="s">
        <v>60</v>
      </c>
      <c r="H686" s="2" t="s">
        <v>54</v>
      </c>
      <c r="I686" s="2">
        <v>2</v>
      </c>
      <c r="J686" s="5">
        <v>386964</v>
      </c>
      <c r="K686" s="5">
        <v>15000</v>
      </c>
      <c r="L686" s="2" t="s">
        <v>35</v>
      </c>
      <c r="M686" s="2" t="s">
        <v>67</v>
      </c>
      <c r="N686" s="2" t="s">
        <v>61</v>
      </c>
    </row>
    <row r="687" spans="1:14" x14ac:dyDescent="0.25">
      <c r="A687" s="2" t="s">
        <v>1162</v>
      </c>
      <c r="B687" s="2" t="s">
        <v>44</v>
      </c>
      <c r="C687" s="2" t="s">
        <v>45</v>
      </c>
      <c r="D687" s="4">
        <v>46158</v>
      </c>
      <c r="E687" s="2" t="s">
        <v>58</v>
      </c>
      <c r="F687" s="2" t="s">
        <v>65</v>
      </c>
      <c r="G687" s="2" t="s">
        <v>75</v>
      </c>
      <c r="H687" s="2" t="s">
        <v>54</v>
      </c>
      <c r="I687" s="2">
        <v>2</v>
      </c>
      <c r="J687" s="5">
        <v>1327148</v>
      </c>
      <c r="K687" s="5">
        <v>50000</v>
      </c>
      <c r="L687" s="2" t="s">
        <v>35</v>
      </c>
      <c r="M687" s="2" t="s">
        <v>49</v>
      </c>
      <c r="N687" s="2" t="s">
        <v>37</v>
      </c>
    </row>
    <row r="688" spans="1:14" x14ac:dyDescent="0.25">
      <c r="A688" s="2" t="s">
        <v>1163</v>
      </c>
      <c r="B688" s="2" t="s">
        <v>913</v>
      </c>
      <c r="C688" s="2" t="s">
        <v>309</v>
      </c>
      <c r="D688" s="4">
        <v>46159</v>
      </c>
      <c r="E688" s="2" t="s">
        <v>80</v>
      </c>
      <c r="F688" s="2" t="s">
        <v>65</v>
      </c>
      <c r="G688" s="2" t="s">
        <v>85</v>
      </c>
      <c r="H688" s="2" t="s">
        <v>54</v>
      </c>
      <c r="I688" s="2">
        <v>6</v>
      </c>
      <c r="J688" s="5">
        <v>193240</v>
      </c>
      <c r="K688" s="5">
        <v>50000</v>
      </c>
      <c r="L688" s="2" t="s">
        <v>35</v>
      </c>
      <c r="M688" s="2" t="s">
        <v>49</v>
      </c>
      <c r="N688" s="2" t="s">
        <v>61</v>
      </c>
    </row>
    <row r="689" spans="1:14" x14ac:dyDescent="0.25">
      <c r="A689" s="2" t="s">
        <v>1164</v>
      </c>
      <c r="B689" s="2" t="s">
        <v>116</v>
      </c>
      <c r="C689" s="2" t="s">
        <v>74</v>
      </c>
      <c r="D689" s="4">
        <v>46120</v>
      </c>
      <c r="E689" s="2" t="s">
        <v>31</v>
      </c>
      <c r="F689" s="2" t="s">
        <v>65</v>
      </c>
      <c r="G689" s="2" t="s">
        <v>46</v>
      </c>
      <c r="H689" s="2" t="s">
        <v>76</v>
      </c>
      <c r="I689" s="2">
        <v>1</v>
      </c>
      <c r="J689" s="5">
        <v>134348</v>
      </c>
      <c r="K689" s="5">
        <v>50000</v>
      </c>
      <c r="L689" s="2" t="s">
        <v>48</v>
      </c>
      <c r="M689" s="2" t="s">
        <v>36</v>
      </c>
      <c r="N689" s="2" t="s">
        <v>61</v>
      </c>
    </row>
    <row r="690" spans="1:14" x14ac:dyDescent="0.25">
      <c r="A690" s="2" t="s">
        <v>1165</v>
      </c>
      <c r="B690" s="2" t="s">
        <v>681</v>
      </c>
      <c r="C690" s="2" t="s">
        <v>57</v>
      </c>
      <c r="D690" s="4">
        <v>46189</v>
      </c>
      <c r="E690" s="2" t="s">
        <v>41</v>
      </c>
      <c r="F690" s="2" t="s">
        <v>59</v>
      </c>
      <c r="G690" s="2" t="s">
        <v>75</v>
      </c>
      <c r="H690" s="2" t="s">
        <v>34</v>
      </c>
      <c r="I690" s="2">
        <v>6</v>
      </c>
      <c r="J690" s="5">
        <v>2118284</v>
      </c>
      <c r="K690" s="5">
        <v>50000</v>
      </c>
      <c r="L690" s="2" t="s">
        <v>35</v>
      </c>
      <c r="M690" s="2" t="s">
        <v>36</v>
      </c>
      <c r="N690" s="2" t="s">
        <v>37</v>
      </c>
    </row>
    <row r="691" spans="1:14" x14ac:dyDescent="0.25">
      <c r="A691" s="2" t="s">
        <v>1166</v>
      </c>
      <c r="B691" s="2" t="s">
        <v>961</v>
      </c>
      <c r="C691" s="2" t="s">
        <v>636</v>
      </c>
      <c r="D691" s="4">
        <v>46087</v>
      </c>
      <c r="E691" s="2" t="s">
        <v>53</v>
      </c>
      <c r="F691" s="2" t="s">
        <v>32</v>
      </c>
      <c r="G691" s="2" t="s">
        <v>85</v>
      </c>
      <c r="H691" s="2" t="s">
        <v>34</v>
      </c>
      <c r="I691" s="2">
        <v>4</v>
      </c>
      <c r="J691" s="5">
        <v>1567648</v>
      </c>
      <c r="K691" s="5">
        <v>35000</v>
      </c>
      <c r="L691" s="2" t="s">
        <v>245</v>
      </c>
      <c r="M691" s="2" t="s">
        <v>67</v>
      </c>
      <c r="N691" s="2" t="s">
        <v>37</v>
      </c>
    </row>
    <row r="692" spans="1:14" x14ac:dyDescent="0.25">
      <c r="A692" s="2" t="s">
        <v>1167</v>
      </c>
      <c r="B692" s="2" t="s">
        <v>138</v>
      </c>
      <c r="C692" s="2" t="s">
        <v>126</v>
      </c>
      <c r="D692" s="4">
        <v>46067</v>
      </c>
      <c r="E692" s="2" t="s">
        <v>80</v>
      </c>
      <c r="F692" s="2" t="s">
        <v>42</v>
      </c>
      <c r="G692" s="2" t="s">
        <v>81</v>
      </c>
      <c r="H692" s="2" t="s">
        <v>47</v>
      </c>
      <c r="I692" s="2">
        <v>2</v>
      </c>
      <c r="J692" s="5">
        <v>1749284</v>
      </c>
      <c r="K692" s="5">
        <v>25000</v>
      </c>
      <c r="L692" s="2" t="s">
        <v>35</v>
      </c>
      <c r="M692" s="2" t="s">
        <v>67</v>
      </c>
      <c r="N692" s="2" t="s">
        <v>37</v>
      </c>
    </row>
    <row r="693" spans="1:14" x14ac:dyDescent="0.25">
      <c r="A693" s="2" t="s">
        <v>1168</v>
      </c>
      <c r="B693" s="2" t="s">
        <v>707</v>
      </c>
      <c r="C693" s="2" t="s">
        <v>1169</v>
      </c>
      <c r="D693" s="4">
        <v>46161</v>
      </c>
      <c r="E693" s="2" t="s">
        <v>41</v>
      </c>
      <c r="F693" s="2" t="s">
        <v>59</v>
      </c>
      <c r="G693" s="2" t="s">
        <v>60</v>
      </c>
      <c r="H693" s="2" t="s">
        <v>47</v>
      </c>
      <c r="I693" s="2">
        <v>2</v>
      </c>
      <c r="J693" s="5">
        <v>1072046</v>
      </c>
      <c r="K693" s="5">
        <v>35000</v>
      </c>
      <c r="L693" s="2" t="s">
        <v>48</v>
      </c>
      <c r="M693" s="2" t="s">
        <v>49</v>
      </c>
      <c r="N693" s="2" t="s">
        <v>37</v>
      </c>
    </row>
    <row r="694" spans="1:14" x14ac:dyDescent="0.25">
      <c r="A694" s="2" t="s">
        <v>1170</v>
      </c>
      <c r="B694" s="2" t="s">
        <v>438</v>
      </c>
      <c r="C694" s="2" t="s">
        <v>244</v>
      </c>
      <c r="D694" s="4">
        <v>46141</v>
      </c>
      <c r="E694" s="2" t="s">
        <v>53</v>
      </c>
      <c r="F694" s="2" t="s">
        <v>42</v>
      </c>
      <c r="G694" s="2" t="s">
        <v>85</v>
      </c>
      <c r="H694" s="2" t="s">
        <v>34</v>
      </c>
      <c r="I694" s="2">
        <v>3</v>
      </c>
      <c r="J694" s="5">
        <v>1644882</v>
      </c>
      <c r="K694" s="5">
        <v>25000</v>
      </c>
      <c r="L694" s="2" t="s">
        <v>35</v>
      </c>
      <c r="M694" s="2" t="s">
        <v>67</v>
      </c>
      <c r="N694" s="2" t="s">
        <v>61</v>
      </c>
    </row>
    <row r="695" spans="1:14" x14ac:dyDescent="0.25">
      <c r="A695" s="2" t="s">
        <v>1171</v>
      </c>
      <c r="B695" s="2" t="s">
        <v>413</v>
      </c>
      <c r="C695" s="2" t="s">
        <v>122</v>
      </c>
      <c r="D695" s="4">
        <v>46072</v>
      </c>
      <c r="E695" s="2" t="s">
        <v>80</v>
      </c>
      <c r="F695" s="2" t="s">
        <v>42</v>
      </c>
      <c r="G695" s="2" t="s">
        <v>60</v>
      </c>
      <c r="H695" s="2" t="s">
        <v>34</v>
      </c>
      <c r="I695" s="2">
        <v>5</v>
      </c>
      <c r="J695" s="5" t="s">
        <v>1172</v>
      </c>
      <c r="K695" s="5">
        <v>35000</v>
      </c>
      <c r="L695" s="2" t="s">
        <v>48</v>
      </c>
      <c r="M695" s="2" t="s">
        <v>71</v>
      </c>
      <c r="N695" s="2" t="s">
        <v>37</v>
      </c>
    </row>
    <row r="696" spans="1:14" x14ac:dyDescent="0.25">
      <c r="A696" s="2" t="s">
        <v>1173</v>
      </c>
      <c r="B696" s="2" t="s">
        <v>887</v>
      </c>
      <c r="C696" s="2" t="s">
        <v>888</v>
      </c>
      <c r="D696" s="4">
        <v>46161</v>
      </c>
      <c r="E696" s="2" t="s">
        <v>31</v>
      </c>
      <c r="F696" s="2" t="s">
        <v>42</v>
      </c>
      <c r="G696" s="2" t="s">
        <v>33</v>
      </c>
      <c r="H696" s="2" t="s">
        <v>76</v>
      </c>
      <c r="I696" s="2">
        <v>7</v>
      </c>
      <c r="J696" s="5">
        <v>2017166</v>
      </c>
      <c r="K696" s="5">
        <v>25000</v>
      </c>
      <c r="L696" s="2" t="s">
        <v>89</v>
      </c>
      <c r="M696" s="2" t="s">
        <v>71</v>
      </c>
      <c r="N696" s="2" t="s">
        <v>61</v>
      </c>
    </row>
    <row r="697" spans="1:14" x14ac:dyDescent="0.25">
      <c r="A697" s="2" t="s">
        <v>1174</v>
      </c>
      <c r="B697" s="2" t="s">
        <v>446</v>
      </c>
      <c r="C697" s="2" t="s">
        <v>98</v>
      </c>
      <c r="D697" s="4">
        <v>46121</v>
      </c>
      <c r="E697" s="2" t="s">
        <v>31</v>
      </c>
      <c r="F697" s="2" t="s">
        <v>59</v>
      </c>
      <c r="G697" s="2" t="s">
        <v>46</v>
      </c>
      <c r="H697" s="2" t="s">
        <v>34</v>
      </c>
      <c r="I697" s="2">
        <v>2</v>
      </c>
      <c r="J697" s="5">
        <v>2290555</v>
      </c>
      <c r="K697" s="5">
        <v>35000</v>
      </c>
      <c r="L697" s="2" t="s">
        <v>245</v>
      </c>
      <c r="M697" s="2" t="s">
        <v>67</v>
      </c>
      <c r="N697" s="2" t="s">
        <v>37</v>
      </c>
    </row>
    <row r="698" spans="1:14" x14ac:dyDescent="0.25">
      <c r="A698" s="2" t="s">
        <v>1175</v>
      </c>
      <c r="B698" s="2" t="s">
        <v>167</v>
      </c>
      <c r="C698" s="2" t="s">
        <v>84</v>
      </c>
      <c r="D698" s="4">
        <v>46197</v>
      </c>
      <c r="E698" s="2" t="s">
        <v>31</v>
      </c>
      <c r="F698" s="2" t="s">
        <v>42</v>
      </c>
      <c r="G698" s="2" t="s">
        <v>60</v>
      </c>
      <c r="H698" s="2" t="s">
        <v>66</v>
      </c>
      <c r="I698" s="2">
        <v>6</v>
      </c>
      <c r="J698" s="5">
        <v>2482919</v>
      </c>
      <c r="K698" s="5">
        <v>15000</v>
      </c>
      <c r="L698" s="2" t="s">
        <v>35</v>
      </c>
      <c r="M698" s="2" t="s">
        <v>71</v>
      </c>
      <c r="N698" s="2" t="s">
        <v>37</v>
      </c>
    </row>
    <row r="699" spans="1:14" x14ac:dyDescent="0.25">
      <c r="A699" s="2" t="s">
        <v>1176</v>
      </c>
      <c r="B699" s="2" t="s">
        <v>699</v>
      </c>
      <c r="C699" s="2" t="s">
        <v>104</v>
      </c>
      <c r="D699" s="4">
        <v>46056</v>
      </c>
      <c r="E699" s="2" t="s">
        <v>58</v>
      </c>
      <c r="F699" s="2" t="s">
        <v>65</v>
      </c>
      <c r="G699" s="2" t="s">
        <v>81</v>
      </c>
      <c r="H699" s="2" t="s">
        <v>54</v>
      </c>
      <c r="I699" s="2">
        <v>5</v>
      </c>
      <c r="J699" s="5">
        <v>2161304</v>
      </c>
      <c r="K699" s="5">
        <v>25000</v>
      </c>
      <c r="L699" s="2" t="s">
        <v>245</v>
      </c>
      <c r="M699" s="2" t="s">
        <v>36</v>
      </c>
      <c r="N699" s="2" t="s">
        <v>61</v>
      </c>
    </row>
    <row r="700" spans="1:14" x14ac:dyDescent="0.25">
      <c r="A700" s="2" t="s">
        <v>1177</v>
      </c>
      <c r="B700" s="2" t="s">
        <v>618</v>
      </c>
      <c r="C700" s="2" t="s">
        <v>133</v>
      </c>
      <c r="D700" s="4">
        <v>46036</v>
      </c>
      <c r="E700" s="2" t="s">
        <v>31</v>
      </c>
      <c r="F700" s="2" t="s">
        <v>42</v>
      </c>
      <c r="G700" s="2" t="s">
        <v>33</v>
      </c>
      <c r="H700" s="2" t="s">
        <v>54</v>
      </c>
      <c r="I700" s="2">
        <v>3</v>
      </c>
      <c r="J700" s="5">
        <v>1510447</v>
      </c>
      <c r="K700" s="5">
        <v>0</v>
      </c>
      <c r="L700" s="2" t="s">
        <v>245</v>
      </c>
      <c r="M700" s="2" t="s">
        <v>36</v>
      </c>
      <c r="N700" s="2" t="s">
        <v>37</v>
      </c>
    </row>
    <row r="701" spans="1:14" x14ac:dyDescent="0.25">
      <c r="A701" s="2" t="s">
        <v>1178</v>
      </c>
      <c r="B701" s="2" t="s">
        <v>1013</v>
      </c>
      <c r="C701" s="2" t="s">
        <v>30</v>
      </c>
      <c r="D701" s="4">
        <v>46103</v>
      </c>
      <c r="E701" s="2" t="s">
        <v>58</v>
      </c>
      <c r="F701" s="2" t="s">
        <v>42</v>
      </c>
      <c r="G701" s="2" t="s">
        <v>85</v>
      </c>
      <c r="H701" s="2" t="s">
        <v>34</v>
      </c>
      <c r="I701" s="2">
        <v>3</v>
      </c>
      <c r="J701" s="5">
        <v>1993247</v>
      </c>
      <c r="K701" s="5">
        <v>35000</v>
      </c>
      <c r="L701" s="2" t="s">
        <v>35</v>
      </c>
      <c r="M701" s="2" t="s">
        <v>67</v>
      </c>
      <c r="N701" s="2" t="s">
        <v>37</v>
      </c>
    </row>
    <row r="702" spans="1:14" x14ac:dyDescent="0.25">
      <c r="A702" s="2" t="s">
        <v>1179</v>
      </c>
      <c r="B702" s="2" t="s">
        <v>146</v>
      </c>
      <c r="C702" s="2" t="s">
        <v>40</v>
      </c>
      <c r="D702" s="4">
        <v>46159</v>
      </c>
      <c r="E702" s="2" t="s">
        <v>80</v>
      </c>
      <c r="F702" s="2" t="s">
        <v>42</v>
      </c>
      <c r="G702" s="2" t="s">
        <v>81</v>
      </c>
      <c r="H702" s="2" t="s">
        <v>34</v>
      </c>
      <c r="I702" s="2">
        <v>5</v>
      </c>
      <c r="J702" s="5">
        <v>1838322</v>
      </c>
      <c r="K702" s="5">
        <v>15000</v>
      </c>
      <c r="L702" s="2" t="s">
        <v>35</v>
      </c>
      <c r="M702" s="2" t="s">
        <v>36</v>
      </c>
      <c r="N702" s="2" t="s">
        <v>37</v>
      </c>
    </row>
    <row r="703" spans="1:14" x14ac:dyDescent="0.25">
      <c r="A703" s="2" t="s">
        <v>1180</v>
      </c>
      <c r="B703" s="2" t="s">
        <v>932</v>
      </c>
      <c r="C703" s="2" t="s">
        <v>727</v>
      </c>
      <c r="D703" s="4">
        <v>46033</v>
      </c>
      <c r="E703" s="2" t="s">
        <v>58</v>
      </c>
      <c r="F703" s="2" t="s">
        <v>32</v>
      </c>
      <c r="G703" s="2" t="s">
        <v>60</v>
      </c>
      <c r="H703" s="2" t="s">
        <v>76</v>
      </c>
      <c r="I703" s="2">
        <v>4</v>
      </c>
      <c r="J703" s="5">
        <v>688742</v>
      </c>
      <c r="K703" s="5">
        <v>35000</v>
      </c>
      <c r="L703" s="2" t="s">
        <v>35</v>
      </c>
      <c r="M703" s="2" t="s">
        <v>67</v>
      </c>
      <c r="N703" s="2" t="s">
        <v>61</v>
      </c>
    </row>
    <row r="704" spans="1:14" x14ac:dyDescent="0.25">
      <c r="A704" s="2" t="s">
        <v>1181</v>
      </c>
      <c r="B704" s="2" t="s">
        <v>113</v>
      </c>
      <c r="C704" s="2" t="s">
        <v>114</v>
      </c>
      <c r="D704" s="4">
        <v>46028</v>
      </c>
      <c r="E704" s="2" t="s">
        <v>58</v>
      </c>
      <c r="F704" s="2" t="s">
        <v>42</v>
      </c>
      <c r="G704" s="2" t="s">
        <v>85</v>
      </c>
      <c r="H704" s="2" t="s">
        <v>76</v>
      </c>
      <c r="I704" s="2">
        <v>3</v>
      </c>
      <c r="J704" s="5">
        <v>2182620</v>
      </c>
      <c r="K704" s="5">
        <v>50000</v>
      </c>
      <c r="L704" s="2" t="s">
        <v>48</v>
      </c>
      <c r="M704" s="2" t="s">
        <v>49</v>
      </c>
      <c r="N704" s="2" t="s">
        <v>37</v>
      </c>
    </row>
    <row r="705" spans="1:14" x14ac:dyDescent="0.25">
      <c r="A705" s="2" t="s">
        <v>1182</v>
      </c>
      <c r="B705" s="2" t="s">
        <v>399</v>
      </c>
      <c r="C705" s="2" t="s">
        <v>111</v>
      </c>
      <c r="D705" s="4">
        <v>46123</v>
      </c>
      <c r="E705" s="2" t="s">
        <v>80</v>
      </c>
      <c r="F705" s="2" t="s">
        <v>65</v>
      </c>
      <c r="G705" s="2" t="s">
        <v>33</v>
      </c>
      <c r="H705" s="2" t="s">
        <v>76</v>
      </c>
      <c r="I705" s="2">
        <v>7</v>
      </c>
      <c r="J705" s="5">
        <v>746989</v>
      </c>
      <c r="K705" s="5">
        <v>0</v>
      </c>
      <c r="L705" s="2" t="s">
        <v>89</v>
      </c>
      <c r="M705" s="2" t="s">
        <v>71</v>
      </c>
      <c r="N705" s="2" t="s">
        <v>37</v>
      </c>
    </row>
    <row r="706" spans="1:14" x14ac:dyDescent="0.25">
      <c r="A706" s="2" t="s">
        <v>1183</v>
      </c>
      <c r="B706" s="2" t="s">
        <v>434</v>
      </c>
      <c r="C706" s="2" t="s">
        <v>435</v>
      </c>
      <c r="D706" s="2" t="s">
        <v>1184</v>
      </c>
      <c r="E706" s="2" t="s">
        <v>53</v>
      </c>
      <c r="F706" s="2" t="s">
        <v>65</v>
      </c>
      <c r="G706" s="2" t="s">
        <v>60</v>
      </c>
      <c r="H706" s="2" t="s">
        <v>66</v>
      </c>
      <c r="I706" s="2">
        <v>3</v>
      </c>
      <c r="J706" s="5">
        <v>1872122</v>
      </c>
      <c r="K706" s="5">
        <v>15000</v>
      </c>
      <c r="L706" s="2" t="s">
        <v>48</v>
      </c>
      <c r="M706" s="2" t="s">
        <v>36</v>
      </c>
      <c r="N706" s="2" t="s">
        <v>61</v>
      </c>
    </row>
    <row r="707" spans="1:14" x14ac:dyDescent="0.25">
      <c r="A707" s="2" t="s">
        <v>1185</v>
      </c>
      <c r="B707" s="2" t="s">
        <v>296</v>
      </c>
      <c r="C707" s="2" t="s">
        <v>144</v>
      </c>
      <c r="D707" s="4">
        <v>46189</v>
      </c>
      <c r="E707" s="2" t="s">
        <v>58</v>
      </c>
      <c r="F707" s="2" t="s">
        <v>32</v>
      </c>
      <c r="G707" s="2" t="s">
        <v>75</v>
      </c>
      <c r="H707" s="2" t="s">
        <v>47</v>
      </c>
      <c r="I707" s="2">
        <v>3</v>
      </c>
      <c r="J707" s="5">
        <v>1121616</v>
      </c>
      <c r="K707" s="5">
        <v>25000</v>
      </c>
      <c r="L707" s="2" t="s">
        <v>35</v>
      </c>
      <c r="M707" s="2" t="s">
        <v>36</v>
      </c>
      <c r="N707" s="2" t="s">
        <v>61</v>
      </c>
    </row>
    <row r="708" spans="1:14" x14ac:dyDescent="0.25">
      <c r="A708" s="2" t="s">
        <v>1186</v>
      </c>
      <c r="B708" s="2" t="s">
        <v>1187</v>
      </c>
      <c r="C708" s="2" t="s">
        <v>309</v>
      </c>
      <c r="D708" s="4">
        <v>46164</v>
      </c>
      <c r="E708" s="2" t="s">
        <v>58</v>
      </c>
      <c r="F708" s="2" t="s">
        <v>32</v>
      </c>
      <c r="G708" s="2" t="s">
        <v>60</v>
      </c>
      <c r="H708" s="2" t="s">
        <v>34</v>
      </c>
      <c r="I708" s="2">
        <v>7</v>
      </c>
      <c r="J708" s="5">
        <v>251591</v>
      </c>
      <c r="K708" s="5">
        <v>15000</v>
      </c>
      <c r="L708" s="2" t="s">
        <v>89</v>
      </c>
      <c r="M708" s="2" t="s">
        <v>49</v>
      </c>
      <c r="N708" s="2" t="s">
        <v>37</v>
      </c>
    </row>
    <row r="709" spans="1:14" x14ac:dyDescent="0.25">
      <c r="A709" s="2" t="s">
        <v>1188</v>
      </c>
      <c r="B709" s="2" t="s">
        <v>290</v>
      </c>
      <c r="C709" s="2" t="s">
        <v>104</v>
      </c>
      <c r="D709" s="2" t="s">
        <v>220</v>
      </c>
      <c r="E709" s="2" t="s">
        <v>53</v>
      </c>
      <c r="F709" s="2" t="s">
        <v>59</v>
      </c>
      <c r="G709" s="2" t="s">
        <v>60</v>
      </c>
      <c r="H709" s="2" t="s">
        <v>66</v>
      </c>
      <c r="I709" s="2">
        <v>6</v>
      </c>
      <c r="J709" s="5">
        <v>270924</v>
      </c>
      <c r="K709" s="5">
        <v>25000</v>
      </c>
      <c r="L709" s="2" t="s">
        <v>35</v>
      </c>
      <c r="M709" s="2"/>
      <c r="N709" s="2" t="s">
        <v>61</v>
      </c>
    </row>
    <row r="710" spans="1:14" x14ac:dyDescent="0.25">
      <c r="A710" s="2" t="s">
        <v>1189</v>
      </c>
      <c r="B710" s="2" t="s">
        <v>987</v>
      </c>
      <c r="C710" s="2" t="s">
        <v>229</v>
      </c>
      <c r="D710" s="4">
        <v>46089</v>
      </c>
      <c r="E710" s="2" t="s">
        <v>41</v>
      </c>
      <c r="F710" s="2" t="s">
        <v>65</v>
      </c>
      <c r="G710" s="2" t="s">
        <v>75</v>
      </c>
      <c r="H710" s="2" t="s">
        <v>66</v>
      </c>
      <c r="I710" s="2">
        <v>4</v>
      </c>
      <c r="J710" s="5">
        <v>2436860</v>
      </c>
      <c r="K710" s="5">
        <v>15000</v>
      </c>
      <c r="L710" s="2" t="s">
        <v>35</v>
      </c>
      <c r="M710" s="2" t="s">
        <v>67</v>
      </c>
      <c r="N710" s="2" t="s">
        <v>61</v>
      </c>
    </row>
    <row r="711" spans="1:14" x14ac:dyDescent="0.25">
      <c r="A711" s="2" t="s">
        <v>1190</v>
      </c>
      <c r="B711" s="2" t="s">
        <v>681</v>
      </c>
      <c r="C711" s="2" t="s">
        <v>57</v>
      </c>
      <c r="D711" s="4">
        <v>46055</v>
      </c>
      <c r="E711" s="2" t="s">
        <v>53</v>
      </c>
      <c r="F711" s="2" t="s">
        <v>42</v>
      </c>
      <c r="G711" s="2" t="s">
        <v>81</v>
      </c>
      <c r="H711" s="2" t="s">
        <v>54</v>
      </c>
      <c r="I711" s="2">
        <v>1</v>
      </c>
      <c r="J711" s="5">
        <v>568998</v>
      </c>
      <c r="K711" s="5">
        <v>15000</v>
      </c>
      <c r="L711" s="2" t="s">
        <v>35</v>
      </c>
      <c r="M711" s="2" t="s">
        <v>108</v>
      </c>
      <c r="N711" s="2" t="s">
        <v>61</v>
      </c>
    </row>
    <row r="712" spans="1:14" x14ac:dyDescent="0.25">
      <c r="A712" s="2" t="s">
        <v>1191</v>
      </c>
      <c r="B712" s="2" t="s">
        <v>182</v>
      </c>
      <c r="C712" s="2" t="s">
        <v>200</v>
      </c>
      <c r="D712" s="4">
        <v>46026</v>
      </c>
      <c r="E712" s="2" t="s">
        <v>41</v>
      </c>
      <c r="F712" s="2" t="s">
        <v>32</v>
      </c>
      <c r="G712" s="2" t="s">
        <v>75</v>
      </c>
      <c r="H712" s="2" t="s">
        <v>54</v>
      </c>
      <c r="I712" s="2">
        <v>1</v>
      </c>
      <c r="J712" s="5">
        <v>1550823</v>
      </c>
      <c r="K712" s="5">
        <v>50000</v>
      </c>
      <c r="L712" s="2" t="s">
        <v>35</v>
      </c>
      <c r="M712" s="2" t="s">
        <v>319</v>
      </c>
      <c r="N712" s="2" t="s">
        <v>61</v>
      </c>
    </row>
    <row r="713" spans="1:14" x14ac:dyDescent="0.25">
      <c r="A713" s="2" t="s">
        <v>1192</v>
      </c>
      <c r="B713" s="2" t="s">
        <v>469</v>
      </c>
      <c r="C713" s="2" t="s">
        <v>470</v>
      </c>
      <c r="D713" s="4">
        <v>46203</v>
      </c>
      <c r="E713" s="2" t="s">
        <v>58</v>
      </c>
      <c r="F713" s="2" t="s">
        <v>65</v>
      </c>
      <c r="G713" s="2" t="s">
        <v>60</v>
      </c>
      <c r="H713" s="2" t="s">
        <v>34</v>
      </c>
      <c r="I713" s="2">
        <v>6</v>
      </c>
      <c r="J713" s="5">
        <v>701812</v>
      </c>
      <c r="K713" s="5">
        <v>15000</v>
      </c>
      <c r="L713" s="2" t="s">
        <v>245</v>
      </c>
      <c r="M713" s="2" t="s">
        <v>67</v>
      </c>
      <c r="N713" s="2" t="s">
        <v>61</v>
      </c>
    </row>
    <row r="714" spans="1:14" x14ac:dyDescent="0.25">
      <c r="A714" s="2" t="s">
        <v>1193</v>
      </c>
      <c r="B714" s="2" t="s">
        <v>1194</v>
      </c>
      <c r="C714" s="2" t="s">
        <v>79</v>
      </c>
      <c r="D714" s="4">
        <v>46043</v>
      </c>
      <c r="E714" s="2" t="s">
        <v>31</v>
      </c>
      <c r="F714" s="2" t="s">
        <v>59</v>
      </c>
      <c r="G714" s="2" t="s">
        <v>46</v>
      </c>
      <c r="H714" s="2" t="s">
        <v>34</v>
      </c>
      <c r="I714" s="2">
        <v>6</v>
      </c>
      <c r="J714" s="5">
        <v>1742780</v>
      </c>
      <c r="K714" s="5">
        <v>25000</v>
      </c>
      <c r="L714" s="2" t="s">
        <v>35</v>
      </c>
      <c r="M714" s="2" t="s">
        <v>36</v>
      </c>
      <c r="N714" s="2" t="s">
        <v>37</v>
      </c>
    </row>
    <row r="715" spans="1:14" x14ac:dyDescent="0.25">
      <c r="A715" s="2" t="s">
        <v>1195</v>
      </c>
      <c r="B715" s="2" t="s">
        <v>235</v>
      </c>
      <c r="C715" s="2" t="s">
        <v>190</v>
      </c>
      <c r="D715" s="4">
        <v>46196</v>
      </c>
      <c r="E715" s="2" t="s">
        <v>31</v>
      </c>
      <c r="F715" s="2" t="s">
        <v>32</v>
      </c>
      <c r="G715" s="2" t="s">
        <v>85</v>
      </c>
      <c r="H715" s="2" t="s">
        <v>76</v>
      </c>
      <c r="I715" s="2">
        <v>2</v>
      </c>
      <c r="J715" s="5">
        <v>376969</v>
      </c>
      <c r="K715" s="5">
        <v>35000</v>
      </c>
      <c r="L715" s="2" t="s">
        <v>35</v>
      </c>
      <c r="M715" s="2" t="s">
        <v>67</v>
      </c>
      <c r="N715" s="2" t="s">
        <v>61</v>
      </c>
    </row>
    <row r="716" spans="1:14" x14ac:dyDescent="0.25">
      <c r="A716" s="2" t="s">
        <v>1196</v>
      </c>
      <c r="B716" s="2" t="s">
        <v>384</v>
      </c>
      <c r="C716" s="2" t="s">
        <v>385</v>
      </c>
      <c r="D716" s="4">
        <v>46054</v>
      </c>
      <c r="E716" s="2" t="s">
        <v>41</v>
      </c>
      <c r="F716" s="2" t="s">
        <v>32</v>
      </c>
      <c r="G716" s="2" t="s">
        <v>46</v>
      </c>
      <c r="H716" s="2" t="s">
        <v>47</v>
      </c>
      <c r="I716" s="2">
        <v>2</v>
      </c>
      <c r="J716" s="5">
        <v>437843</v>
      </c>
      <c r="K716" s="5">
        <v>15000</v>
      </c>
      <c r="L716" s="2" t="s">
        <v>349</v>
      </c>
      <c r="M716" s="2" t="s">
        <v>36</v>
      </c>
      <c r="N716" s="2" t="s">
        <v>37</v>
      </c>
    </row>
    <row r="717" spans="1:14" x14ac:dyDescent="0.25">
      <c r="A717" s="2" t="s">
        <v>1197</v>
      </c>
      <c r="B717" s="2" t="s">
        <v>161</v>
      </c>
      <c r="C717" s="2" t="s">
        <v>136</v>
      </c>
      <c r="D717" s="4">
        <v>46132</v>
      </c>
      <c r="E717" s="2" t="s">
        <v>80</v>
      </c>
      <c r="F717" s="2" t="s">
        <v>32</v>
      </c>
      <c r="G717" s="2" t="s">
        <v>85</v>
      </c>
      <c r="H717" s="2" t="s">
        <v>54</v>
      </c>
      <c r="I717" s="2">
        <v>6</v>
      </c>
      <c r="J717" s="5">
        <v>1172559</v>
      </c>
      <c r="K717" s="5">
        <v>25000</v>
      </c>
      <c r="L717" s="2" t="s">
        <v>177</v>
      </c>
      <c r="M717" s="2" t="s">
        <v>67</v>
      </c>
      <c r="N717" s="2" t="s">
        <v>61</v>
      </c>
    </row>
    <row r="718" spans="1:14" x14ac:dyDescent="0.25">
      <c r="A718" s="2" t="s">
        <v>1198</v>
      </c>
      <c r="B718" s="2" t="s">
        <v>816</v>
      </c>
      <c r="C718" s="2" t="s">
        <v>158</v>
      </c>
      <c r="D718" s="4">
        <v>46149</v>
      </c>
      <c r="E718" s="2" t="s">
        <v>41</v>
      </c>
      <c r="F718" s="2" t="s">
        <v>65</v>
      </c>
      <c r="G718" s="2" t="s">
        <v>75</v>
      </c>
      <c r="H718" s="2" t="s">
        <v>130</v>
      </c>
      <c r="I718" s="2">
        <v>5</v>
      </c>
      <c r="J718" s="5">
        <v>1563776</v>
      </c>
      <c r="K718" s="5">
        <v>0</v>
      </c>
      <c r="L718" s="2" t="s">
        <v>35</v>
      </c>
      <c r="M718" s="2" t="s">
        <v>36</v>
      </c>
      <c r="N718" s="2" t="s">
        <v>37</v>
      </c>
    </row>
    <row r="719" spans="1:14" x14ac:dyDescent="0.25">
      <c r="A719" s="2" t="s">
        <v>1199</v>
      </c>
      <c r="B719" s="2" t="s">
        <v>228</v>
      </c>
      <c r="C719" s="2" t="s">
        <v>229</v>
      </c>
      <c r="D719" s="4">
        <v>46115</v>
      </c>
      <c r="E719" s="2" t="s">
        <v>80</v>
      </c>
      <c r="F719" s="2" t="s">
        <v>59</v>
      </c>
      <c r="G719" s="2" t="s">
        <v>33</v>
      </c>
      <c r="H719" s="2" t="s">
        <v>337</v>
      </c>
      <c r="I719" s="2">
        <v>3</v>
      </c>
      <c r="J719" s="5">
        <v>396315</v>
      </c>
      <c r="K719" s="5">
        <v>50000</v>
      </c>
      <c r="L719" s="2" t="s">
        <v>35</v>
      </c>
      <c r="M719" s="2" t="s">
        <v>67</v>
      </c>
      <c r="N719" s="2" t="s">
        <v>37</v>
      </c>
    </row>
    <row r="720" spans="1:14" x14ac:dyDescent="0.25">
      <c r="A720" s="2" t="s">
        <v>1200</v>
      </c>
      <c r="B720" s="2" t="s">
        <v>1020</v>
      </c>
      <c r="C720" s="2" t="s">
        <v>377</v>
      </c>
      <c r="D720" s="4">
        <v>46148</v>
      </c>
      <c r="E720" s="2" t="s">
        <v>58</v>
      </c>
      <c r="F720" s="2" t="s">
        <v>32</v>
      </c>
      <c r="G720" s="2" t="s">
        <v>60</v>
      </c>
      <c r="H720" s="2" t="s">
        <v>47</v>
      </c>
      <c r="I720" s="2">
        <v>6</v>
      </c>
      <c r="J720" s="5">
        <v>1434808</v>
      </c>
      <c r="K720" s="5">
        <v>50000</v>
      </c>
      <c r="L720" s="2" t="s">
        <v>35</v>
      </c>
      <c r="M720" s="2" t="s">
        <v>36</v>
      </c>
      <c r="N720" s="2" t="s">
        <v>37</v>
      </c>
    </row>
    <row r="721" spans="1:14" x14ac:dyDescent="0.25">
      <c r="A721" s="2" t="s">
        <v>1201</v>
      </c>
      <c r="B721" s="2" t="s">
        <v>606</v>
      </c>
      <c r="C721" s="2" t="s">
        <v>370</v>
      </c>
      <c r="D721" s="4">
        <v>46126</v>
      </c>
      <c r="E721" s="2" t="s">
        <v>41</v>
      </c>
      <c r="F721" s="2" t="s">
        <v>59</v>
      </c>
      <c r="G721" s="2" t="s">
        <v>81</v>
      </c>
      <c r="H721" s="2" t="s">
        <v>34</v>
      </c>
      <c r="I721" s="2">
        <v>4</v>
      </c>
      <c r="J721" s="5">
        <v>2064579</v>
      </c>
      <c r="K721" s="5">
        <v>35000</v>
      </c>
      <c r="L721" s="2" t="s">
        <v>35</v>
      </c>
      <c r="M721" s="2" t="s">
        <v>36</v>
      </c>
      <c r="N721" s="2" t="s">
        <v>37</v>
      </c>
    </row>
    <row r="722" spans="1:14" x14ac:dyDescent="0.25">
      <c r="A722" s="2" t="s">
        <v>1202</v>
      </c>
      <c r="B722" s="2" t="s">
        <v>290</v>
      </c>
      <c r="C722" s="2" t="s">
        <v>104</v>
      </c>
      <c r="D722" s="4">
        <v>46184</v>
      </c>
      <c r="E722" s="2" t="s">
        <v>31</v>
      </c>
      <c r="F722" s="2" t="s">
        <v>42</v>
      </c>
      <c r="G722" s="2" t="s">
        <v>46</v>
      </c>
      <c r="H722" s="2" t="s">
        <v>34</v>
      </c>
      <c r="I722" s="2">
        <v>3</v>
      </c>
      <c r="J722" s="5">
        <v>746561</v>
      </c>
      <c r="K722" s="5">
        <v>35000</v>
      </c>
      <c r="L722" s="2" t="s">
        <v>35</v>
      </c>
      <c r="M722" s="2" t="s">
        <v>71</v>
      </c>
      <c r="N722" s="2" t="s">
        <v>61</v>
      </c>
    </row>
    <row r="723" spans="1:14" x14ac:dyDescent="0.25">
      <c r="A723" s="2" t="s">
        <v>1203</v>
      </c>
      <c r="B723" s="2" t="s">
        <v>932</v>
      </c>
      <c r="C723" s="2" t="s">
        <v>727</v>
      </c>
      <c r="D723" s="4">
        <v>46027</v>
      </c>
      <c r="E723" s="2" t="s">
        <v>41</v>
      </c>
      <c r="F723" s="2" t="s">
        <v>59</v>
      </c>
      <c r="G723" s="2" t="s">
        <v>85</v>
      </c>
      <c r="H723" s="2" t="s">
        <v>66</v>
      </c>
      <c r="I723" s="2">
        <v>2</v>
      </c>
      <c r="J723" s="5">
        <v>1761196</v>
      </c>
      <c r="K723" s="5">
        <v>35000</v>
      </c>
      <c r="L723" s="2" t="s">
        <v>35</v>
      </c>
      <c r="M723" s="2" t="s">
        <v>67</v>
      </c>
      <c r="N723" s="2" t="s">
        <v>37</v>
      </c>
    </row>
    <row r="724" spans="1:14" x14ac:dyDescent="0.25">
      <c r="A724" s="2" t="s">
        <v>1204</v>
      </c>
      <c r="B724" s="2" t="s">
        <v>683</v>
      </c>
      <c r="C724" s="2" t="s">
        <v>170</v>
      </c>
      <c r="D724" s="4">
        <v>46071</v>
      </c>
      <c r="E724" s="2" t="s">
        <v>31</v>
      </c>
      <c r="F724" s="2" t="s">
        <v>59</v>
      </c>
      <c r="G724" s="2" t="s">
        <v>584</v>
      </c>
      <c r="H724" s="2" t="s">
        <v>54</v>
      </c>
      <c r="I724" s="2">
        <v>6</v>
      </c>
      <c r="J724" s="5">
        <v>2160674</v>
      </c>
      <c r="K724" s="5">
        <v>50000</v>
      </c>
      <c r="L724" s="2" t="s">
        <v>35</v>
      </c>
      <c r="M724" s="2" t="s">
        <v>36</v>
      </c>
      <c r="N724" s="2" t="s">
        <v>37</v>
      </c>
    </row>
    <row r="725" spans="1:14" x14ac:dyDescent="0.25">
      <c r="A725" s="2" t="s">
        <v>1205</v>
      </c>
      <c r="B725" s="2" t="s">
        <v>887</v>
      </c>
      <c r="C725" s="2" t="s">
        <v>888</v>
      </c>
      <c r="D725" s="4">
        <v>46040</v>
      </c>
      <c r="E725" s="2" t="s">
        <v>41</v>
      </c>
      <c r="F725" s="2" t="s">
        <v>42</v>
      </c>
      <c r="G725" s="2" t="s">
        <v>201</v>
      </c>
      <c r="H725" s="2" t="s">
        <v>47</v>
      </c>
      <c r="I725" s="2">
        <v>5</v>
      </c>
      <c r="J725" s="5">
        <v>1475945</v>
      </c>
      <c r="K725" s="5">
        <v>35000</v>
      </c>
      <c r="L725" s="2" t="s">
        <v>35</v>
      </c>
      <c r="M725" s="2" t="s">
        <v>67</v>
      </c>
      <c r="N725" s="2" t="s">
        <v>61</v>
      </c>
    </row>
    <row r="726" spans="1:14" x14ac:dyDescent="0.25">
      <c r="A726" s="2" t="s">
        <v>1206</v>
      </c>
      <c r="B726" s="2" t="s">
        <v>1207</v>
      </c>
      <c r="C726" s="2" t="s">
        <v>435</v>
      </c>
      <c r="D726" s="4">
        <v>46184</v>
      </c>
      <c r="E726" s="2" t="s">
        <v>53</v>
      </c>
      <c r="F726" s="2" t="s">
        <v>65</v>
      </c>
      <c r="G726" s="2" t="s">
        <v>46</v>
      </c>
      <c r="H726" s="2" t="s">
        <v>34</v>
      </c>
      <c r="I726" s="2">
        <v>6</v>
      </c>
      <c r="J726" s="5">
        <v>785226</v>
      </c>
      <c r="K726" s="5">
        <v>25000</v>
      </c>
      <c r="L726" s="2" t="s">
        <v>35</v>
      </c>
      <c r="M726" s="2" t="s">
        <v>36</v>
      </c>
      <c r="N726" s="2" t="s">
        <v>37</v>
      </c>
    </row>
    <row r="727" spans="1:14" x14ac:dyDescent="0.25">
      <c r="A727" s="2" t="s">
        <v>1208</v>
      </c>
      <c r="B727" s="2" t="s">
        <v>341</v>
      </c>
      <c r="C727" s="2" t="s">
        <v>342</v>
      </c>
      <c r="D727" s="4">
        <v>46118</v>
      </c>
      <c r="E727" s="2" t="s">
        <v>41</v>
      </c>
      <c r="F727" s="2" t="s">
        <v>42</v>
      </c>
      <c r="G727" s="2" t="s">
        <v>85</v>
      </c>
      <c r="H727" s="2" t="s">
        <v>66</v>
      </c>
      <c r="I727" s="2">
        <v>5</v>
      </c>
      <c r="J727" s="5">
        <v>657430</v>
      </c>
      <c r="K727" s="5">
        <v>25000</v>
      </c>
      <c r="L727" s="2" t="s">
        <v>89</v>
      </c>
      <c r="M727" s="2" t="s">
        <v>71</v>
      </c>
      <c r="N727" s="2" t="s">
        <v>61</v>
      </c>
    </row>
    <row r="728" spans="1:14" x14ac:dyDescent="0.25">
      <c r="A728" s="2" t="s">
        <v>1209</v>
      </c>
      <c r="B728" s="2" t="s">
        <v>1210</v>
      </c>
      <c r="C728" s="2" t="s">
        <v>224</v>
      </c>
      <c r="D728" s="4">
        <v>46103</v>
      </c>
      <c r="E728" s="2" t="s">
        <v>31</v>
      </c>
      <c r="F728" s="2" t="s">
        <v>1211</v>
      </c>
      <c r="G728" s="2" t="s">
        <v>33</v>
      </c>
      <c r="H728" s="2" t="s">
        <v>76</v>
      </c>
      <c r="I728" s="2">
        <v>5</v>
      </c>
      <c r="J728" s="5">
        <v>2117275</v>
      </c>
      <c r="K728" s="5">
        <v>25000</v>
      </c>
      <c r="L728" s="2" t="s">
        <v>35</v>
      </c>
      <c r="M728" s="2" t="s">
        <v>71</v>
      </c>
      <c r="N728" s="2" t="s">
        <v>61</v>
      </c>
    </row>
    <row r="729" spans="1:14" x14ac:dyDescent="0.25">
      <c r="A729" s="2" t="s">
        <v>1212</v>
      </c>
      <c r="B729" s="2" t="s">
        <v>707</v>
      </c>
      <c r="C729" s="2" t="s">
        <v>70</v>
      </c>
      <c r="D729" s="4">
        <v>46174</v>
      </c>
      <c r="E729" s="2" t="s">
        <v>80</v>
      </c>
      <c r="F729" s="2" t="s">
        <v>837</v>
      </c>
      <c r="G729" s="2" t="s">
        <v>60</v>
      </c>
      <c r="H729" s="2" t="s">
        <v>34</v>
      </c>
      <c r="I729" s="2">
        <v>4</v>
      </c>
      <c r="J729" s="5">
        <v>1114125</v>
      </c>
      <c r="K729" s="5">
        <v>15000</v>
      </c>
      <c r="L729" s="2" t="s">
        <v>35</v>
      </c>
      <c r="M729" s="2" t="s">
        <v>71</v>
      </c>
      <c r="N729" s="2" t="s">
        <v>37</v>
      </c>
    </row>
    <row r="730" spans="1:14" x14ac:dyDescent="0.25">
      <c r="A730" s="2" t="s">
        <v>1213</v>
      </c>
      <c r="B730" s="2" t="s">
        <v>702</v>
      </c>
      <c r="C730" s="2" t="s">
        <v>101</v>
      </c>
      <c r="D730" s="4">
        <v>46158</v>
      </c>
      <c r="E730" s="2" t="s">
        <v>80</v>
      </c>
      <c r="F730" s="2" t="s">
        <v>65</v>
      </c>
      <c r="G730" s="2" t="s">
        <v>60</v>
      </c>
      <c r="H730" s="2" t="s">
        <v>47</v>
      </c>
      <c r="I730" s="2">
        <v>5</v>
      </c>
      <c r="J730" s="5">
        <v>2179153</v>
      </c>
      <c r="K730" s="5">
        <v>35000</v>
      </c>
      <c r="L730" s="2" t="s">
        <v>245</v>
      </c>
      <c r="M730" s="2" t="s">
        <v>49</v>
      </c>
      <c r="N730" s="2" t="s">
        <v>61</v>
      </c>
    </row>
    <row r="731" spans="1:14" x14ac:dyDescent="0.25">
      <c r="A731" s="2" t="s">
        <v>1214</v>
      </c>
      <c r="B731" s="2" t="s">
        <v>405</v>
      </c>
      <c r="C731" s="2" t="s">
        <v>107</v>
      </c>
      <c r="D731" s="4">
        <v>46093</v>
      </c>
      <c r="E731" s="2" t="s">
        <v>331</v>
      </c>
      <c r="F731" s="2" t="s">
        <v>65</v>
      </c>
      <c r="G731" s="2" t="s">
        <v>33</v>
      </c>
      <c r="H731" s="2" t="s">
        <v>66</v>
      </c>
      <c r="I731" s="2">
        <v>7</v>
      </c>
      <c r="J731" s="5">
        <v>720135</v>
      </c>
      <c r="K731" s="5">
        <v>25000</v>
      </c>
      <c r="L731" s="2" t="s">
        <v>35</v>
      </c>
      <c r="M731" s="2" t="s">
        <v>36</v>
      </c>
      <c r="N731" s="2" t="s">
        <v>37</v>
      </c>
    </row>
    <row r="732" spans="1:14" x14ac:dyDescent="0.25">
      <c r="A732" s="2" t="s">
        <v>1215</v>
      </c>
      <c r="B732" s="2" t="s">
        <v>1129</v>
      </c>
      <c r="C732" s="2" t="s">
        <v>208</v>
      </c>
      <c r="D732" s="4">
        <v>46060</v>
      </c>
      <c r="E732" s="2" t="s">
        <v>31</v>
      </c>
      <c r="F732" s="2" t="s">
        <v>65</v>
      </c>
      <c r="G732" s="2" t="s">
        <v>33</v>
      </c>
      <c r="H732" s="2" t="s">
        <v>54</v>
      </c>
      <c r="I732" s="2">
        <v>4</v>
      </c>
      <c r="J732" s="5">
        <v>1264028</v>
      </c>
      <c r="K732" s="5">
        <v>25000</v>
      </c>
      <c r="L732" s="2" t="s">
        <v>89</v>
      </c>
      <c r="M732" s="2" t="s">
        <v>71</v>
      </c>
      <c r="N732" s="2" t="s">
        <v>61</v>
      </c>
    </row>
    <row r="733" spans="1:14" x14ac:dyDescent="0.25">
      <c r="A733" s="2" t="s">
        <v>1216</v>
      </c>
      <c r="B733" s="2" t="s">
        <v>694</v>
      </c>
      <c r="C733" s="2" t="s">
        <v>208</v>
      </c>
      <c r="D733" s="4">
        <v>46152</v>
      </c>
      <c r="E733" s="2" t="s">
        <v>58</v>
      </c>
      <c r="F733" s="2" t="s">
        <v>32</v>
      </c>
      <c r="G733" s="2" t="s">
        <v>33</v>
      </c>
      <c r="H733" s="2" t="s">
        <v>34</v>
      </c>
      <c r="I733" s="2">
        <v>7</v>
      </c>
      <c r="J733" s="5">
        <v>1304707</v>
      </c>
      <c r="K733" s="5">
        <v>15000</v>
      </c>
      <c r="L733" s="2" t="s">
        <v>35</v>
      </c>
      <c r="M733" s="2" t="s">
        <v>36</v>
      </c>
      <c r="N733" s="2" t="s">
        <v>61</v>
      </c>
    </row>
    <row r="734" spans="1:14" x14ac:dyDescent="0.25">
      <c r="A734" s="2" t="s">
        <v>1217</v>
      </c>
      <c r="B734" s="2" t="s">
        <v>333</v>
      </c>
      <c r="C734" s="2" t="s">
        <v>334</v>
      </c>
      <c r="D734" s="4">
        <v>46029</v>
      </c>
      <c r="E734" s="2" t="s">
        <v>31</v>
      </c>
      <c r="F734" s="2" t="s">
        <v>59</v>
      </c>
      <c r="G734" s="2" t="s">
        <v>75</v>
      </c>
      <c r="H734" s="2" t="s">
        <v>47</v>
      </c>
      <c r="I734" s="2">
        <v>1</v>
      </c>
      <c r="J734" s="5">
        <v>240885</v>
      </c>
      <c r="K734" s="5">
        <v>35000</v>
      </c>
      <c r="L734" s="2" t="s">
        <v>35</v>
      </c>
      <c r="M734" s="2" t="s">
        <v>71</v>
      </c>
      <c r="N734" s="2" t="s">
        <v>61</v>
      </c>
    </row>
    <row r="735" spans="1:14" x14ac:dyDescent="0.25">
      <c r="A735" s="2" t="s">
        <v>1218</v>
      </c>
      <c r="B735" s="2" t="s">
        <v>1219</v>
      </c>
      <c r="C735" s="2" t="s">
        <v>377</v>
      </c>
      <c r="D735" s="4">
        <v>46136</v>
      </c>
      <c r="E735" s="2" t="s">
        <v>53</v>
      </c>
      <c r="F735" s="2" t="s">
        <v>59</v>
      </c>
      <c r="G735" s="2" t="s">
        <v>33</v>
      </c>
      <c r="H735" s="2" t="s">
        <v>34</v>
      </c>
      <c r="I735" s="2">
        <v>3</v>
      </c>
      <c r="J735" s="5"/>
      <c r="K735" s="5">
        <v>0</v>
      </c>
      <c r="L735" s="2" t="s">
        <v>35</v>
      </c>
      <c r="M735" s="2" t="s">
        <v>67</v>
      </c>
      <c r="N735" s="2" t="s">
        <v>61</v>
      </c>
    </row>
    <row r="736" spans="1:14" x14ac:dyDescent="0.25">
      <c r="A736" s="2" t="s">
        <v>1220</v>
      </c>
      <c r="B736" s="2" t="s">
        <v>737</v>
      </c>
      <c r="C736" s="2" t="s">
        <v>1221</v>
      </c>
      <c r="D736" s="4">
        <v>46027</v>
      </c>
      <c r="E736" s="2" t="s">
        <v>31</v>
      </c>
      <c r="F736" s="2" t="s">
        <v>32</v>
      </c>
      <c r="G736" s="2" t="s">
        <v>75</v>
      </c>
      <c r="H736" s="2" t="s">
        <v>47</v>
      </c>
      <c r="I736" s="2">
        <v>7</v>
      </c>
      <c r="J736" s="5" t="s">
        <v>1222</v>
      </c>
      <c r="K736" s="5">
        <v>0</v>
      </c>
      <c r="L736" s="2" t="s">
        <v>35</v>
      </c>
      <c r="M736" s="2" t="s">
        <v>36</v>
      </c>
      <c r="N736" s="2" t="s">
        <v>61</v>
      </c>
    </row>
    <row r="737" spans="1:14" x14ac:dyDescent="0.25">
      <c r="A737" s="2" t="s">
        <v>1223</v>
      </c>
      <c r="B737" s="2" t="s">
        <v>943</v>
      </c>
      <c r="C737" s="2" t="s">
        <v>1224</v>
      </c>
      <c r="D737" s="4">
        <v>46134</v>
      </c>
      <c r="E737" s="2" t="s">
        <v>58</v>
      </c>
      <c r="F737" s="2" t="s">
        <v>32</v>
      </c>
      <c r="G737" s="2" t="s">
        <v>33</v>
      </c>
      <c r="H737" s="2" t="s">
        <v>76</v>
      </c>
      <c r="I737" s="2">
        <v>2</v>
      </c>
      <c r="J737" s="5">
        <v>1478468</v>
      </c>
      <c r="K737" s="5">
        <v>35000</v>
      </c>
      <c r="L737" s="2" t="s">
        <v>35</v>
      </c>
      <c r="M737" s="2" t="s">
        <v>71</v>
      </c>
      <c r="N737" s="2" t="s">
        <v>61</v>
      </c>
    </row>
    <row r="738" spans="1:14" x14ac:dyDescent="0.25">
      <c r="A738" s="2" t="s">
        <v>1225</v>
      </c>
      <c r="B738" s="2" t="s">
        <v>430</v>
      </c>
      <c r="C738" s="2" t="s">
        <v>45</v>
      </c>
      <c r="D738" s="4">
        <v>46153</v>
      </c>
      <c r="E738" s="2" t="s">
        <v>31</v>
      </c>
      <c r="F738" s="2" t="s">
        <v>65</v>
      </c>
      <c r="G738" s="2" t="s">
        <v>46</v>
      </c>
      <c r="H738" s="2" t="s">
        <v>34</v>
      </c>
      <c r="I738" s="2">
        <v>4</v>
      </c>
      <c r="J738" s="5">
        <v>354290</v>
      </c>
      <c r="K738" s="5">
        <v>15000</v>
      </c>
      <c r="L738" s="2" t="s">
        <v>35</v>
      </c>
      <c r="M738" s="2" t="s">
        <v>67</v>
      </c>
      <c r="N738" s="2" t="s">
        <v>61</v>
      </c>
    </row>
    <row r="739" spans="1:14" x14ac:dyDescent="0.25">
      <c r="A739" s="2" t="s">
        <v>1226</v>
      </c>
      <c r="B739" s="2" t="s">
        <v>651</v>
      </c>
      <c r="C739" s="2" t="s">
        <v>70</v>
      </c>
      <c r="D739" s="4">
        <v>46115</v>
      </c>
      <c r="E739" s="2" t="s">
        <v>41</v>
      </c>
      <c r="F739" s="2" t="s">
        <v>59</v>
      </c>
      <c r="G739" s="2" t="s">
        <v>46</v>
      </c>
      <c r="H739" s="2" t="s">
        <v>54</v>
      </c>
      <c r="I739" s="2">
        <v>1</v>
      </c>
      <c r="J739" s="5">
        <v>1617706</v>
      </c>
      <c r="K739" s="5">
        <v>25000</v>
      </c>
      <c r="L739" s="2" t="s">
        <v>35</v>
      </c>
      <c r="M739" s="2" t="s">
        <v>36</v>
      </c>
      <c r="N739" s="2" t="s">
        <v>37</v>
      </c>
    </row>
    <row r="740" spans="1:14" x14ac:dyDescent="0.25">
      <c r="A740" s="2" t="s">
        <v>1227</v>
      </c>
      <c r="B740" s="2" t="s">
        <v>669</v>
      </c>
      <c r="C740" s="2" t="s">
        <v>129</v>
      </c>
      <c r="D740" s="4">
        <v>46124</v>
      </c>
      <c r="E740" s="2" t="s">
        <v>31</v>
      </c>
      <c r="F740" s="2" t="s">
        <v>65</v>
      </c>
      <c r="G740" s="2" t="s">
        <v>33</v>
      </c>
      <c r="H740" s="2" t="s">
        <v>34</v>
      </c>
      <c r="I740" s="2">
        <v>7</v>
      </c>
      <c r="J740" s="5">
        <v>770050</v>
      </c>
      <c r="K740" s="5">
        <v>50000</v>
      </c>
      <c r="L740" s="2" t="s">
        <v>35</v>
      </c>
      <c r="M740" s="2" t="s">
        <v>67</v>
      </c>
      <c r="N740" s="2" t="s">
        <v>61</v>
      </c>
    </row>
    <row r="741" spans="1:14" x14ac:dyDescent="0.25">
      <c r="A741" s="2" t="s">
        <v>1228</v>
      </c>
      <c r="B741" s="2" t="s">
        <v>469</v>
      </c>
      <c r="C741" s="2" t="s">
        <v>470</v>
      </c>
      <c r="D741" s="4">
        <v>46188</v>
      </c>
      <c r="E741" s="2" t="s">
        <v>41</v>
      </c>
      <c r="F741" s="2" t="s">
        <v>65</v>
      </c>
      <c r="G741" s="2" t="s">
        <v>81</v>
      </c>
      <c r="H741" s="2" t="s">
        <v>34</v>
      </c>
      <c r="I741" s="2">
        <v>1</v>
      </c>
      <c r="J741" s="5">
        <v>2459098</v>
      </c>
      <c r="K741" s="5">
        <v>0</v>
      </c>
      <c r="L741" s="2" t="s">
        <v>35</v>
      </c>
      <c r="M741" s="2" t="s">
        <v>36</v>
      </c>
      <c r="N741" s="2" t="s">
        <v>61</v>
      </c>
    </row>
    <row r="742" spans="1:14" x14ac:dyDescent="0.25">
      <c r="A742" s="2" t="s">
        <v>1229</v>
      </c>
      <c r="B742" s="2" t="s">
        <v>638</v>
      </c>
      <c r="C742" s="2" t="s">
        <v>241</v>
      </c>
      <c r="D742" s="4">
        <v>46058</v>
      </c>
      <c r="E742" s="2" t="s">
        <v>41</v>
      </c>
      <c r="F742" s="2" t="s">
        <v>65</v>
      </c>
      <c r="G742" s="2" t="s">
        <v>46</v>
      </c>
      <c r="H742" s="2" t="s">
        <v>66</v>
      </c>
      <c r="I742" s="2">
        <v>3</v>
      </c>
      <c r="J742" s="5">
        <v>2219600</v>
      </c>
      <c r="K742" s="5">
        <v>25000</v>
      </c>
      <c r="L742" s="2" t="s">
        <v>35</v>
      </c>
      <c r="M742" s="2" t="s">
        <v>36</v>
      </c>
      <c r="N742" s="2" t="s">
        <v>37</v>
      </c>
    </row>
    <row r="743" spans="1:14" x14ac:dyDescent="0.25">
      <c r="A743" s="2" t="s">
        <v>1230</v>
      </c>
      <c r="B743" s="2" t="s">
        <v>1231</v>
      </c>
      <c r="C743" s="2" t="s">
        <v>435</v>
      </c>
      <c r="D743" s="4">
        <v>46194</v>
      </c>
      <c r="E743" s="2" t="s">
        <v>767</v>
      </c>
      <c r="F743" s="2" t="s">
        <v>42</v>
      </c>
      <c r="G743" s="2" t="s">
        <v>46</v>
      </c>
      <c r="H743" s="2" t="s">
        <v>47</v>
      </c>
      <c r="I743" s="2">
        <v>1</v>
      </c>
      <c r="J743" s="5">
        <v>1860379</v>
      </c>
      <c r="K743" s="5">
        <v>50000</v>
      </c>
      <c r="L743" s="2" t="s">
        <v>35</v>
      </c>
      <c r="M743" s="2" t="s">
        <v>36</v>
      </c>
      <c r="N743" s="2" t="s">
        <v>61</v>
      </c>
    </row>
    <row r="744" spans="1:14" x14ac:dyDescent="0.25">
      <c r="A744" s="2" t="s">
        <v>1232</v>
      </c>
      <c r="B744" s="2" t="s">
        <v>841</v>
      </c>
      <c r="C744" s="2" t="s">
        <v>84</v>
      </c>
      <c r="D744" s="4">
        <v>46202</v>
      </c>
      <c r="E744" s="2" t="s">
        <v>41</v>
      </c>
      <c r="F744" s="2" t="s">
        <v>42</v>
      </c>
      <c r="G744" s="2" t="s">
        <v>85</v>
      </c>
      <c r="H744" s="2" t="s">
        <v>76</v>
      </c>
      <c r="I744" s="2">
        <v>3</v>
      </c>
      <c r="J744" s="5">
        <v>458175</v>
      </c>
      <c r="K744" s="5">
        <v>50000</v>
      </c>
      <c r="L744" s="2" t="s">
        <v>35</v>
      </c>
      <c r="M744" s="2" t="s">
        <v>71</v>
      </c>
      <c r="N744" s="2" t="s">
        <v>61</v>
      </c>
    </row>
    <row r="745" spans="1:14" x14ac:dyDescent="0.25">
      <c r="A745" s="2" t="s">
        <v>1233</v>
      </c>
      <c r="B745" s="2" t="s">
        <v>688</v>
      </c>
      <c r="C745" s="2" t="s">
        <v>689</v>
      </c>
      <c r="D745" s="4">
        <v>46183</v>
      </c>
      <c r="E745" s="2" t="s">
        <v>31</v>
      </c>
      <c r="F745" s="2" t="s">
        <v>32</v>
      </c>
      <c r="G745" s="2" t="s">
        <v>33</v>
      </c>
      <c r="H745" s="2" t="s">
        <v>34</v>
      </c>
      <c r="I745" s="2">
        <v>5</v>
      </c>
      <c r="J745" s="5">
        <v>1300349</v>
      </c>
      <c r="K745" s="5">
        <v>25000</v>
      </c>
      <c r="L745" s="2" t="s">
        <v>35</v>
      </c>
      <c r="M745" s="2" t="s">
        <v>36</v>
      </c>
      <c r="N745" s="2" t="s">
        <v>37</v>
      </c>
    </row>
    <row r="746" spans="1:14" x14ac:dyDescent="0.25">
      <c r="A746" s="2" t="s">
        <v>1234</v>
      </c>
      <c r="B746" s="2" t="s">
        <v>103</v>
      </c>
      <c r="C746" s="2" t="s">
        <v>104</v>
      </c>
      <c r="D746" s="4">
        <v>46089</v>
      </c>
      <c r="E746" s="2" t="s">
        <v>53</v>
      </c>
      <c r="F746" s="2" t="s">
        <v>59</v>
      </c>
      <c r="G746" s="2" t="s">
        <v>85</v>
      </c>
      <c r="H746" s="2" t="s">
        <v>34</v>
      </c>
      <c r="I746" s="2">
        <v>6</v>
      </c>
      <c r="J746" s="5">
        <v>1766819</v>
      </c>
      <c r="K746" s="5">
        <v>0</v>
      </c>
      <c r="L746" s="2" t="s">
        <v>35</v>
      </c>
      <c r="M746" s="2" t="s">
        <v>67</v>
      </c>
      <c r="N746" s="2" t="s">
        <v>61</v>
      </c>
    </row>
    <row r="747" spans="1:14" x14ac:dyDescent="0.25">
      <c r="A747" s="2" t="s">
        <v>1235</v>
      </c>
      <c r="B747" s="2" t="s">
        <v>327</v>
      </c>
      <c r="C747" s="2" t="s">
        <v>328</v>
      </c>
      <c r="D747" s="4">
        <v>46122</v>
      </c>
      <c r="E747" s="2" t="s">
        <v>80</v>
      </c>
      <c r="F747" s="2" t="s">
        <v>42</v>
      </c>
      <c r="G747" s="2" t="s">
        <v>46</v>
      </c>
      <c r="H747" s="2" t="s">
        <v>66</v>
      </c>
      <c r="I747" s="2">
        <v>2</v>
      </c>
      <c r="J747" s="5">
        <v>567656</v>
      </c>
      <c r="K747" s="5">
        <v>15000</v>
      </c>
      <c r="L747" s="2" t="s">
        <v>35</v>
      </c>
      <c r="M747" s="2" t="s">
        <v>36</v>
      </c>
      <c r="N747" s="2" t="s">
        <v>37</v>
      </c>
    </row>
    <row r="748" spans="1:14" x14ac:dyDescent="0.25">
      <c r="A748" s="2" t="s">
        <v>1236</v>
      </c>
      <c r="B748" s="2" t="s">
        <v>519</v>
      </c>
      <c r="C748" s="2" t="s">
        <v>377</v>
      </c>
      <c r="D748" s="2"/>
      <c r="E748" s="2" t="s">
        <v>80</v>
      </c>
      <c r="F748" s="2" t="s">
        <v>65</v>
      </c>
      <c r="G748" s="2" t="s">
        <v>85</v>
      </c>
      <c r="H748" s="2" t="s">
        <v>34</v>
      </c>
      <c r="I748" s="2">
        <v>7</v>
      </c>
      <c r="J748" s="5">
        <v>1083893</v>
      </c>
      <c r="K748" s="5">
        <v>50000</v>
      </c>
      <c r="L748" s="2" t="s">
        <v>35</v>
      </c>
      <c r="M748" s="2" t="s">
        <v>36</v>
      </c>
      <c r="N748" s="2" t="s">
        <v>37</v>
      </c>
    </row>
    <row r="749" spans="1:14" x14ac:dyDescent="0.25">
      <c r="A749" s="2" t="s">
        <v>1237</v>
      </c>
      <c r="B749" s="2" t="s">
        <v>874</v>
      </c>
      <c r="C749" s="2" t="s">
        <v>393</v>
      </c>
      <c r="D749" s="4">
        <v>46150</v>
      </c>
      <c r="E749" s="2" t="s">
        <v>41</v>
      </c>
      <c r="F749" s="2" t="s">
        <v>59</v>
      </c>
      <c r="G749" s="2" t="s">
        <v>46</v>
      </c>
      <c r="H749" s="2" t="s">
        <v>76</v>
      </c>
      <c r="I749" s="2">
        <v>4</v>
      </c>
      <c r="J749" s="5">
        <v>1749787</v>
      </c>
      <c r="K749" s="5">
        <v>25000</v>
      </c>
      <c r="L749" s="2" t="s">
        <v>89</v>
      </c>
      <c r="M749" s="2" t="s">
        <v>36</v>
      </c>
      <c r="N749" s="2" t="s">
        <v>37</v>
      </c>
    </row>
    <row r="750" spans="1:14" x14ac:dyDescent="0.25">
      <c r="A750" s="2" t="s">
        <v>1238</v>
      </c>
      <c r="B750" s="2" t="s">
        <v>461</v>
      </c>
      <c r="C750" s="2" t="s">
        <v>152</v>
      </c>
      <c r="D750" s="4">
        <v>46193</v>
      </c>
      <c r="E750" s="2" t="s">
        <v>58</v>
      </c>
      <c r="F750" s="2" t="s">
        <v>65</v>
      </c>
      <c r="G750" s="2" t="s">
        <v>81</v>
      </c>
      <c r="H750" s="2" t="s">
        <v>66</v>
      </c>
      <c r="I750" s="2">
        <v>5</v>
      </c>
      <c r="J750" s="5">
        <v>1162361</v>
      </c>
      <c r="K750" s="5">
        <v>0</v>
      </c>
      <c r="L750" s="2" t="s">
        <v>35</v>
      </c>
      <c r="M750" s="2" t="s">
        <v>67</v>
      </c>
      <c r="N750" s="2" t="s">
        <v>61</v>
      </c>
    </row>
    <row r="751" spans="1:14" x14ac:dyDescent="0.25">
      <c r="A751" s="2" t="s">
        <v>1239</v>
      </c>
      <c r="B751" s="2" t="s">
        <v>298</v>
      </c>
      <c r="C751" s="2" t="s">
        <v>88</v>
      </c>
      <c r="D751" s="4">
        <v>46136</v>
      </c>
      <c r="E751" s="2" t="s">
        <v>31</v>
      </c>
      <c r="F751" s="2" t="s">
        <v>59</v>
      </c>
      <c r="G751" s="2" t="s">
        <v>75</v>
      </c>
      <c r="H751" s="2" t="s">
        <v>66</v>
      </c>
      <c r="I751" s="2">
        <v>2</v>
      </c>
      <c r="J751" s="5">
        <v>1719795</v>
      </c>
      <c r="K751" s="5">
        <v>50000</v>
      </c>
      <c r="L751" s="2" t="s">
        <v>35</v>
      </c>
      <c r="M751" s="2" t="s">
        <v>36</v>
      </c>
      <c r="N751" s="2" t="s">
        <v>61</v>
      </c>
    </row>
    <row r="752" spans="1:14" x14ac:dyDescent="0.25">
      <c r="A752" s="2" t="s">
        <v>1240</v>
      </c>
      <c r="B752" s="2" t="s">
        <v>51</v>
      </c>
      <c r="C752" s="2" t="s">
        <v>52</v>
      </c>
      <c r="D752" s="4">
        <v>46129</v>
      </c>
      <c r="E752" s="2" t="s">
        <v>31</v>
      </c>
      <c r="F752" s="2" t="s">
        <v>32</v>
      </c>
      <c r="G752" s="2" t="s">
        <v>60</v>
      </c>
      <c r="H752" s="2" t="s">
        <v>34</v>
      </c>
      <c r="I752" s="2">
        <v>7</v>
      </c>
      <c r="J752" s="5">
        <v>213929</v>
      </c>
      <c r="K752" s="5">
        <v>25000</v>
      </c>
      <c r="L752" s="2" t="s">
        <v>35</v>
      </c>
      <c r="M752" s="2" t="s">
        <v>67</v>
      </c>
      <c r="N752" s="2" t="s">
        <v>61</v>
      </c>
    </row>
    <row r="753" spans="1:14" x14ac:dyDescent="0.25">
      <c r="A753" s="2" t="s">
        <v>1241</v>
      </c>
      <c r="B753" s="2" t="s">
        <v>696</v>
      </c>
      <c r="C753" s="2" t="s">
        <v>689</v>
      </c>
      <c r="D753" s="2" t="s">
        <v>1242</v>
      </c>
      <c r="E753" s="2" t="s">
        <v>31</v>
      </c>
      <c r="F753" s="2" t="s">
        <v>59</v>
      </c>
      <c r="G753" s="2" t="s">
        <v>46</v>
      </c>
      <c r="H753" s="2" t="s">
        <v>76</v>
      </c>
      <c r="I753" s="2">
        <v>2</v>
      </c>
      <c r="J753" s="5">
        <v>247370</v>
      </c>
      <c r="K753" s="5">
        <v>35000</v>
      </c>
      <c r="L753" s="2" t="s">
        <v>35</v>
      </c>
      <c r="M753" s="2" t="s">
        <v>67</v>
      </c>
      <c r="N753" s="2" t="s">
        <v>37</v>
      </c>
    </row>
    <row r="754" spans="1:14" x14ac:dyDescent="0.25">
      <c r="A754" s="2" t="s">
        <v>1243</v>
      </c>
      <c r="B754" s="2" t="s">
        <v>151</v>
      </c>
      <c r="C754" s="2" t="s">
        <v>152</v>
      </c>
      <c r="D754" s="4">
        <v>46028</v>
      </c>
      <c r="E754" s="2" t="s">
        <v>58</v>
      </c>
      <c r="F754" s="2" t="s">
        <v>59</v>
      </c>
      <c r="G754" s="2" t="s">
        <v>75</v>
      </c>
      <c r="H754" s="2" t="s">
        <v>47</v>
      </c>
      <c r="I754" s="2">
        <v>1</v>
      </c>
      <c r="J754" s="5">
        <v>2482360</v>
      </c>
      <c r="K754" s="5">
        <v>35000</v>
      </c>
      <c r="L754" s="2" t="s">
        <v>35</v>
      </c>
      <c r="M754" s="2" t="s">
        <v>108</v>
      </c>
      <c r="N754" s="2" t="s">
        <v>61</v>
      </c>
    </row>
    <row r="755" spans="1:14" x14ac:dyDescent="0.25">
      <c r="A755" s="2" t="s">
        <v>1244</v>
      </c>
      <c r="B755" s="2" t="s">
        <v>355</v>
      </c>
      <c r="C755" s="2" t="s">
        <v>266</v>
      </c>
      <c r="D755" s="4">
        <v>46150</v>
      </c>
      <c r="E755" s="2" t="s">
        <v>58</v>
      </c>
      <c r="F755" s="2" t="s">
        <v>65</v>
      </c>
      <c r="G755" s="2" t="s">
        <v>33</v>
      </c>
      <c r="H755" s="2" t="s">
        <v>66</v>
      </c>
      <c r="I755" s="2">
        <v>4</v>
      </c>
      <c r="J755" s="5">
        <v>1933984</v>
      </c>
      <c r="K755" s="5">
        <v>35000</v>
      </c>
      <c r="L755" s="2" t="s">
        <v>35</v>
      </c>
      <c r="M755" s="2" t="s">
        <v>67</v>
      </c>
      <c r="N755" s="2" t="s">
        <v>37</v>
      </c>
    </row>
    <row r="756" spans="1:14" x14ac:dyDescent="0.25">
      <c r="A756" s="2" t="s">
        <v>1245</v>
      </c>
      <c r="B756" s="2" t="s">
        <v>240</v>
      </c>
      <c r="C756" s="2" t="s">
        <v>241</v>
      </c>
      <c r="D756" s="4">
        <v>46091</v>
      </c>
      <c r="E756" s="2" t="s">
        <v>58</v>
      </c>
      <c r="F756" s="2" t="s">
        <v>65</v>
      </c>
      <c r="G756" s="2" t="s">
        <v>46</v>
      </c>
      <c r="H756" s="2" t="s">
        <v>47</v>
      </c>
      <c r="I756" s="2">
        <v>7</v>
      </c>
      <c r="J756" s="5">
        <v>222395</v>
      </c>
      <c r="K756" s="5">
        <v>25000</v>
      </c>
      <c r="L756" s="2" t="s">
        <v>35</v>
      </c>
      <c r="M756" s="2" t="s">
        <v>36</v>
      </c>
      <c r="N756" s="2" t="s">
        <v>37</v>
      </c>
    </row>
    <row r="757" spans="1:14" x14ac:dyDescent="0.25">
      <c r="A757" s="2" t="s">
        <v>1246</v>
      </c>
      <c r="B757" s="2" t="s">
        <v>405</v>
      </c>
      <c r="C757" s="2" t="s">
        <v>107</v>
      </c>
      <c r="D757" s="4">
        <v>46082</v>
      </c>
      <c r="E757" s="2" t="s">
        <v>41</v>
      </c>
      <c r="F757" s="2" t="s">
        <v>42</v>
      </c>
      <c r="G757" s="2" t="s">
        <v>33</v>
      </c>
      <c r="H757" s="2" t="s">
        <v>66</v>
      </c>
      <c r="I757" s="2">
        <v>3</v>
      </c>
      <c r="J757" s="5">
        <v>318367</v>
      </c>
      <c r="K757" s="5">
        <v>25000</v>
      </c>
      <c r="L757" s="2" t="s">
        <v>35</v>
      </c>
      <c r="M757" s="2" t="s">
        <v>36</v>
      </c>
      <c r="N757" s="2" t="s">
        <v>61</v>
      </c>
    </row>
    <row r="758" spans="1:14" x14ac:dyDescent="0.25">
      <c r="A758" s="2" t="s">
        <v>1247</v>
      </c>
      <c r="B758" s="2" t="s">
        <v>737</v>
      </c>
      <c r="C758" s="2" t="s">
        <v>158</v>
      </c>
      <c r="D758" s="4">
        <v>46186</v>
      </c>
      <c r="E758" s="2" t="s">
        <v>80</v>
      </c>
      <c r="F758" s="2" t="s">
        <v>32</v>
      </c>
      <c r="G758" s="2" t="s">
        <v>85</v>
      </c>
      <c r="H758" s="2" t="s">
        <v>47</v>
      </c>
      <c r="I758" s="2">
        <v>2</v>
      </c>
      <c r="J758" s="5">
        <v>1574533</v>
      </c>
      <c r="K758" s="5">
        <v>35000</v>
      </c>
      <c r="L758" s="2" t="s">
        <v>35</v>
      </c>
      <c r="M758" s="2" t="s">
        <v>36</v>
      </c>
      <c r="N758" s="2" t="s">
        <v>37</v>
      </c>
    </row>
    <row r="759" spans="1:14" x14ac:dyDescent="0.25">
      <c r="A759" s="2" t="s">
        <v>1248</v>
      </c>
      <c r="B759" s="2" t="s">
        <v>599</v>
      </c>
      <c r="C759" s="2" t="s">
        <v>263</v>
      </c>
      <c r="D759" s="4">
        <v>46133</v>
      </c>
      <c r="E759" s="2" t="s">
        <v>41</v>
      </c>
      <c r="F759" s="2" t="s">
        <v>59</v>
      </c>
      <c r="G759" s="2" t="s">
        <v>46</v>
      </c>
      <c r="H759" s="2" t="s">
        <v>34</v>
      </c>
      <c r="I759" s="2">
        <v>3</v>
      </c>
      <c r="J759" s="5">
        <v>482578</v>
      </c>
      <c r="K759" s="5">
        <v>50000</v>
      </c>
      <c r="L759" s="2" t="s">
        <v>349</v>
      </c>
      <c r="M759" s="2" t="s">
        <v>71</v>
      </c>
      <c r="N759" s="2" t="s">
        <v>61</v>
      </c>
    </row>
    <row r="760" spans="1:14" x14ac:dyDescent="0.25">
      <c r="A760" s="2" t="s">
        <v>1249</v>
      </c>
      <c r="B760" s="2" t="s">
        <v>341</v>
      </c>
      <c r="C760" s="2" t="s">
        <v>342</v>
      </c>
      <c r="D760" s="4">
        <v>46152</v>
      </c>
      <c r="E760" s="2" t="s">
        <v>31</v>
      </c>
      <c r="F760" s="2" t="s">
        <v>42</v>
      </c>
      <c r="G760" s="2" t="s">
        <v>85</v>
      </c>
      <c r="H760" s="2" t="s">
        <v>47</v>
      </c>
      <c r="I760" s="2">
        <v>3</v>
      </c>
      <c r="J760" s="5">
        <v>728385</v>
      </c>
      <c r="K760" s="5">
        <v>50000</v>
      </c>
      <c r="L760" s="2" t="s">
        <v>35</v>
      </c>
      <c r="M760" s="2" t="s">
        <v>71</v>
      </c>
      <c r="N760" s="2" t="s">
        <v>61</v>
      </c>
    </row>
    <row r="761" spans="1:14" x14ac:dyDescent="0.25">
      <c r="A761" s="2" t="s">
        <v>1250</v>
      </c>
      <c r="B761" s="2" t="s">
        <v>1251</v>
      </c>
      <c r="C761" s="2" t="s">
        <v>204</v>
      </c>
      <c r="D761" s="4">
        <v>46130</v>
      </c>
      <c r="E761" s="2" t="s">
        <v>58</v>
      </c>
      <c r="F761" s="2" t="s">
        <v>32</v>
      </c>
      <c r="G761" s="2" t="s">
        <v>46</v>
      </c>
      <c r="H761" s="2" t="s">
        <v>254</v>
      </c>
      <c r="I761" s="2">
        <v>5</v>
      </c>
      <c r="J761" s="5">
        <v>589258</v>
      </c>
      <c r="K761" s="5">
        <v>50000</v>
      </c>
      <c r="L761" s="2" t="s">
        <v>35</v>
      </c>
      <c r="M761" s="2" t="s">
        <v>67</v>
      </c>
      <c r="N761" s="2" t="s">
        <v>61</v>
      </c>
    </row>
    <row r="762" spans="1:14" x14ac:dyDescent="0.25">
      <c r="A762" s="2" t="s">
        <v>1252</v>
      </c>
      <c r="B762" s="2" t="s">
        <v>192</v>
      </c>
      <c r="C762" s="2" t="s">
        <v>101</v>
      </c>
      <c r="D762" s="4">
        <v>46108</v>
      </c>
      <c r="E762" s="2" t="s">
        <v>53</v>
      </c>
      <c r="F762" s="2" t="s">
        <v>59</v>
      </c>
      <c r="G762" s="2" t="s">
        <v>46</v>
      </c>
      <c r="H762" s="2" t="s">
        <v>47</v>
      </c>
      <c r="I762" s="2">
        <v>3</v>
      </c>
      <c r="J762" s="5">
        <v>2171769</v>
      </c>
      <c r="K762" s="5">
        <v>0</v>
      </c>
      <c r="L762" s="2" t="s">
        <v>35</v>
      </c>
      <c r="M762" s="2" t="s">
        <v>71</v>
      </c>
      <c r="N762" s="2" t="s">
        <v>61</v>
      </c>
    </row>
    <row r="763" spans="1:14" x14ac:dyDescent="0.25">
      <c r="A763" s="2" t="s">
        <v>1253</v>
      </c>
      <c r="B763" s="2" t="s">
        <v>243</v>
      </c>
      <c r="C763" s="2" t="s">
        <v>244</v>
      </c>
      <c r="D763" s="4">
        <v>46112</v>
      </c>
      <c r="E763" s="2" t="s">
        <v>31</v>
      </c>
      <c r="F763" s="2" t="s">
        <v>65</v>
      </c>
      <c r="G763" s="2" t="s">
        <v>46</v>
      </c>
      <c r="H763" s="2" t="s">
        <v>54</v>
      </c>
      <c r="I763" s="2">
        <v>2</v>
      </c>
      <c r="J763" s="5">
        <v>1831269</v>
      </c>
      <c r="K763" s="5">
        <v>0</v>
      </c>
      <c r="L763" s="2" t="s">
        <v>35</v>
      </c>
      <c r="M763" s="2" t="s">
        <v>36</v>
      </c>
      <c r="N763" s="2" t="s">
        <v>37</v>
      </c>
    </row>
    <row r="764" spans="1:14" x14ac:dyDescent="0.25">
      <c r="A764" s="2" t="s">
        <v>1254</v>
      </c>
      <c r="B764" s="2" t="s">
        <v>135</v>
      </c>
      <c r="C764" s="2" t="s">
        <v>136</v>
      </c>
      <c r="D764" s="4">
        <v>46041</v>
      </c>
      <c r="E764" s="2" t="s">
        <v>53</v>
      </c>
      <c r="F764" s="2" t="s">
        <v>65</v>
      </c>
      <c r="G764" s="2" t="s">
        <v>85</v>
      </c>
      <c r="H764" s="2" t="s">
        <v>54</v>
      </c>
      <c r="I764" s="2">
        <v>7</v>
      </c>
      <c r="J764" s="5">
        <v>1405788</v>
      </c>
      <c r="K764" s="5">
        <v>15000</v>
      </c>
      <c r="L764" s="2" t="s">
        <v>35</v>
      </c>
      <c r="M764" s="2" t="s">
        <v>71</v>
      </c>
      <c r="N764" s="2" t="s">
        <v>61</v>
      </c>
    </row>
    <row r="765" spans="1:14" x14ac:dyDescent="0.25">
      <c r="A765" s="2" t="s">
        <v>1255</v>
      </c>
      <c r="B765" s="2" t="s">
        <v>292</v>
      </c>
      <c r="C765" s="2" t="s">
        <v>152</v>
      </c>
      <c r="D765" s="4">
        <v>46098</v>
      </c>
      <c r="E765" s="2" t="s">
        <v>41</v>
      </c>
      <c r="F765" s="2" t="s">
        <v>65</v>
      </c>
      <c r="G765" s="2" t="s">
        <v>60</v>
      </c>
      <c r="H765" s="2" t="s">
        <v>66</v>
      </c>
      <c r="I765" s="2">
        <v>2</v>
      </c>
      <c r="J765" s="5">
        <v>627827</v>
      </c>
      <c r="K765" s="5">
        <v>15000</v>
      </c>
      <c r="L765" s="2" t="s">
        <v>48</v>
      </c>
      <c r="M765" s="2" t="s">
        <v>67</v>
      </c>
      <c r="N765" s="2" t="s">
        <v>37</v>
      </c>
    </row>
    <row r="766" spans="1:14" x14ac:dyDescent="0.25">
      <c r="A766" s="2" t="s">
        <v>1256</v>
      </c>
      <c r="B766" s="2" t="s">
        <v>618</v>
      </c>
      <c r="C766" s="2" t="s">
        <v>133</v>
      </c>
      <c r="D766" s="4">
        <v>46201</v>
      </c>
      <c r="E766" s="2" t="s">
        <v>53</v>
      </c>
      <c r="F766" s="2" t="s">
        <v>59</v>
      </c>
      <c r="G766" s="2" t="s">
        <v>75</v>
      </c>
      <c r="H766" s="2" t="s">
        <v>76</v>
      </c>
      <c r="I766" s="2">
        <v>4</v>
      </c>
      <c r="J766" s="5">
        <v>1379194</v>
      </c>
      <c r="K766" s="5">
        <v>25000</v>
      </c>
      <c r="L766" s="2" t="s">
        <v>35</v>
      </c>
      <c r="M766" s="2" t="s">
        <v>67</v>
      </c>
      <c r="N766" s="2" t="s">
        <v>61</v>
      </c>
    </row>
    <row r="767" spans="1:14" x14ac:dyDescent="0.25">
      <c r="A767" s="2" t="s">
        <v>1257</v>
      </c>
      <c r="B767" s="2" t="s">
        <v>399</v>
      </c>
      <c r="C767" s="2" t="s">
        <v>111</v>
      </c>
      <c r="D767" s="4">
        <v>46148</v>
      </c>
      <c r="E767" s="2" t="s">
        <v>41</v>
      </c>
      <c r="F767" s="2" t="s">
        <v>59</v>
      </c>
      <c r="G767" s="2" t="s">
        <v>447</v>
      </c>
      <c r="H767" s="2" t="s">
        <v>54</v>
      </c>
      <c r="I767" s="2">
        <v>3</v>
      </c>
      <c r="J767" s="5">
        <v>252196</v>
      </c>
      <c r="K767" s="5">
        <v>35000</v>
      </c>
      <c r="L767" s="2" t="s">
        <v>35</v>
      </c>
      <c r="M767" s="2" t="s">
        <v>67</v>
      </c>
      <c r="N767" s="2" t="s">
        <v>37</v>
      </c>
    </row>
    <row r="768" spans="1:14" x14ac:dyDescent="0.25">
      <c r="A768" s="2" t="s">
        <v>1258</v>
      </c>
      <c r="B768" s="2" t="s">
        <v>118</v>
      </c>
      <c r="C768" s="2" t="s">
        <v>119</v>
      </c>
      <c r="D768" s="2" t="s">
        <v>978</v>
      </c>
      <c r="E768" s="2" t="s">
        <v>58</v>
      </c>
      <c r="F768" s="2" t="s">
        <v>59</v>
      </c>
      <c r="G768" s="2" t="s">
        <v>33</v>
      </c>
      <c r="H768" s="2" t="s">
        <v>76</v>
      </c>
      <c r="I768" s="2">
        <v>1</v>
      </c>
      <c r="J768" s="5">
        <v>1592431</v>
      </c>
      <c r="K768" s="5">
        <v>35000</v>
      </c>
      <c r="L768" s="2" t="s">
        <v>35</v>
      </c>
      <c r="M768" s="2" t="s">
        <v>49</v>
      </c>
      <c r="N768" s="2" t="s">
        <v>61</v>
      </c>
    </row>
    <row r="769" spans="1:14" x14ac:dyDescent="0.25">
      <c r="A769" s="2" t="s">
        <v>1259</v>
      </c>
      <c r="B769" s="2" t="s">
        <v>379</v>
      </c>
      <c r="C769" s="2" t="s">
        <v>158</v>
      </c>
      <c r="D769" s="4">
        <v>46085</v>
      </c>
      <c r="E769" s="2" t="s">
        <v>41</v>
      </c>
      <c r="F769" s="2" t="s">
        <v>65</v>
      </c>
      <c r="G769" s="2" t="s">
        <v>33</v>
      </c>
      <c r="H769" s="2" t="s">
        <v>66</v>
      </c>
      <c r="I769" s="2">
        <v>4</v>
      </c>
      <c r="J769" s="5">
        <v>514288</v>
      </c>
      <c r="K769" s="5">
        <v>35000</v>
      </c>
      <c r="L769" s="2" t="s">
        <v>35</v>
      </c>
      <c r="M769" s="2" t="s">
        <v>67</v>
      </c>
      <c r="N769" s="2" t="s">
        <v>37</v>
      </c>
    </row>
    <row r="770" spans="1:14" x14ac:dyDescent="0.25">
      <c r="A770" s="2" t="s">
        <v>1260</v>
      </c>
      <c r="B770" s="2" t="s">
        <v>161</v>
      </c>
      <c r="C770" s="2" t="s">
        <v>136</v>
      </c>
      <c r="D770" s="4">
        <v>46180</v>
      </c>
      <c r="E770" s="2" t="s">
        <v>58</v>
      </c>
      <c r="F770" s="2" t="s">
        <v>59</v>
      </c>
      <c r="G770" s="2" t="s">
        <v>81</v>
      </c>
      <c r="H770" s="2" t="s">
        <v>76</v>
      </c>
      <c r="I770" s="2">
        <v>1</v>
      </c>
      <c r="J770" s="5">
        <v>1842210</v>
      </c>
      <c r="K770" s="5">
        <v>0</v>
      </c>
      <c r="L770" s="2" t="s">
        <v>35</v>
      </c>
      <c r="M770" s="2" t="s">
        <v>36</v>
      </c>
      <c r="N770" s="2" t="s">
        <v>61</v>
      </c>
    </row>
    <row r="771" spans="1:14" x14ac:dyDescent="0.25">
      <c r="A771" s="2" t="s">
        <v>1261</v>
      </c>
      <c r="B771" s="2" t="s">
        <v>519</v>
      </c>
      <c r="C771" s="2" t="s">
        <v>377</v>
      </c>
      <c r="D771" s="4">
        <v>46093</v>
      </c>
      <c r="E771" s="2" t="s">
        <v>58</v>
      </c>
      <c r="F771" s="2" t="s">
        <v>656</v>
      </c>
      <c r="G771" s="2" t="s">
        <v>46</v>
      </c>
      <c r="H771" s="2" t="s">
        <v>54</v>
      </c>
      <c r="I771" s="2">
        <v>7</v>
      </c>
      <c r="J771" s="5">
        <v>2489991</v>
      </c>
      <c r="K771" s="5">
        <v>35000</v>
      </c>
      <c r="L771" s="2" t="s">
        <v>245</v>
      </c>
      <c r="M771" s="2" t="s">
        <v>36</v>
      </c>
      <c r="N771" s="2" t="s">
        <v>37</v>
      </c>
    </row>
    <row r="772" spans="1:14" x14ac:dyDescent="0.25">
      <c r="A772" s="2" t="s">
        <v>1262</v>
      </c>
      <c r="B772" s="2" t="s">
        <v>364</v>
      </c>
      <c r="C772" s="2" t="s">
        <v>70</v>
      </c>
      <c r="D772" s="4">
        <v>46138</v>
      </c>
      <c r="E772" s="2" t="s">
        <v>58</v>
      </c>
      <c r="F772" s="2" t="s">
        <v>42</v>
      </c>
      <c r="G772" s="2" t="s">
        <v>81</v>
      </c>
      <c r="H772" s="2" t="s">
        <v>34</v>
      </c>
      <c r="I772" s="2">
        <v>1</v>
      </c>
      <c r="J772" s="5">
        <v>1350564</v>
      </c>
      <c r="K772" s="5">
        <v>15000</v>
      </c>
      <c r="L772" s="2" t="s">
        <v>35</v>
      </c>
      <c r="M772" s="2" t="s">
        <v>67</v>
      </c>
      <c r="N772" s="2" t="s">
        <v>37</v>
      </c>
    </row>
    <row r="773" spans="1:14" x14ac:dyDescent="0.25">
      <c r="A773" s="2" t="s">
        <v>1263</v>
      </c>
      <c r="B773" s="2" t="s">
        <v>203</v>
      </c>
      <c r="C773" s="2" t="s">
        <v>204</v>
      </c>
      <c r="D773" s="4">
        <v>46086</v>
      </c>
      <c r="E773" s="2" t="s">
        <v>31</v>
      </c>
      <c r="F773" s="2" t="s">
        <v>59</v>
      </c>
      <c r="G773" s="2" t="s">
        <v>81</v>
      </c>
      <c r="H773" s="2" t="s">
        <v>66</v>
      </c>
      <c r="I773" s="2">
        <v>7</v>
      </c>
      <c r="J773" s="5">
        <v>143876</v>
      </c>
      <c r="K773" s="5">
        <v>35000</v>
      </c>
      <c r="L773" s="2" t="s">
        <v>35</v>
      </c>
      <c r="M773" s="2" t="s">
        <v>319</v>
      </c>
      <c r="N773" s="2" t="s">
        <v>61</v>
      </c>
    </row>
    <row r="774" spans="1:14" x14ac:dyDescent="0.25">
      <c r="A774" s="2" t="s">
        <v>1264</v>
      </c>
      <c r="B774" s="2" t="s">
        <v>685</v>
      </c>
      <c r="C774" s="2" t="s">
        <v>79</v>
      </c>
      <c r="D774" s="4">
        <v>46110</v>
      </c>
      <c r="E774" s="2" t="s">
        <v>58</v>
      </c>
      <c r="F774" s="2" t="s">
        <v>65</v>
      </c>
      <c r="G774" s="2" t="s">
        <v>85</v>
      </c>
      <c r="H774" s="2" t="s">
        <v>34</v>
      </c>
      <c r="I774" s="2">
        <v>6</v>
      </c>
      <c r="J774" s="5">
        <v>2189264</v>
      </c>
      <c r="K774" s="5">
        <v>15000</v>
      </c>
      <c r="L774" s="2" t="s">
        <v>35</v>
      </c>
      <c r="M774" s="2" t="s">
        <v>36</v>
      </c>
      <c r="N774" s="2" t="s">
        <v>61</v>
      </c>
    </row>
    <row r="775" spans="1:14" x14ac:dyDescent="0.25">
      <c r="A775" s="2" t="s">
        <v>1265</v>
      </c>
      <c r="B775" s="2" t="s">
        <v>723</v>
      </c>
      <c r="C775" s="2" t="s">
        <v>724</v>
      </c>
      <c r="D775" s="4">
        <v>46177</v>
      </c>
      <c r="E775" s="2" t="s">
        <v>41</v>
      </c>
      <c r="F775" s="2" t="s">
        <v>65</v>
      </c>
      <c r="G775" s="2" t="s">
        <v>75</v>
      </c>
      <c r="H775" s="2" t="s">
        <v>76</v>
      </c>
      <c r="I775" s="2">
        <v>4</v>
      </c>
      <c r="J775" s="5">
        <v>2480431</v>
      </c>
      <c r="K775" s="5">
        <v>0</v>
      </c>
      <c r="L775" s="2" t="s">
        <v>35</v>
      </c>
      <c r="M775" s="2" t="s">
        <v>71</v>
      </c>
      <c r="N775" s="2" t="s">
        <v>37</v>
      </c>
    </row>
    <row r="776" spans="1:14" x14ac:dyDescent="0.25">
      <c r="A776" s="2" t="s">
        <v>1266</v>
      </c>
      <c r="B776" s="2" t="s">
        <v>923</v>
      </c>
      <c r="C776" s="2" t="s">
        <v>370</v>
      </c>
      <c r="D776" s="4">
        <v>46162</v>
      </c>
      <c r="E776" s="2" t="s">
        <v>41</v>
      </c>
      <c r="F776" s="2" t="s">
        <v>65</v>
      </c>
      <c r="G776" s="2" t="s">
        <v>81</v>
      </c>
      <c r="H776" s="2" t="s">
        <v>54</v>
      </c>
      <c r="I776" s="2">
        <v>4</v>
      </c>
      <c r="J776" s="5">
        <v>565972</v>
      </c>
      <c r="K776" s="5">
        <v>35000</v>
      </c>
      <c r="L776" s="2" t="s">
        <v>35</v>
      </c>
      <c r="M776" s="2" t="s">
        <v>36</v>
      </c>
      <c r="N776" s="2" t="s">
        <v>37</v>
      </c>
    </row>
    <row r="777" spans="1:14" x14ac:dyDescent="0.25">
      <c r="A777" s="2" t="s">
        <v>1267</v>
      </c>
      <c r="B777" s="2" t="s">
        <v>811</v>
      </c>
      <c r="C777" s="2" t="s">
        <v>470</v>
      </c>
      <c r="D777" s="4">
        <v>46193</v>
      </c>
      <c r="E777" s="2" t="s">
        <v>31</v>
      </c>
      <c r="F777" s="2" t="s">
        <v>65</v>
      </c>
      <c r="G777" s="2" t="s">
        <v>81</v>
      </c>
      <c r="H777" s="2" t="s">
        <v>34</v>
      </c>
      <c r="I777" s="2">
        <v>4</v>
      </c>
      <c r="J777" s="5" t="s">
        <v>1268</v>
      </c>
      <c r="K777" s="5">
        <v>35000</v>
      </c>
      <c r="L777" s="2" t="s">
        <v>35</v>
      </c>
      <c r="M777" s="2" t="s">
        <v>67</v>
      </c>
      <c r="N777" s="2" t="s">
        <v>61</v>
      </c>
    </row>
    <row r="778" spans="1:14" x14ac:dyDescent="0.25">
      <c r="A778" s="2" t="s">
        <v>1269</v>
      </c>
      <c r="B778" s="2" t="s">
        <v>665</v>
      </c>
      <c r="C778" s="2" t="s">
        <v>442</v>
      </c>
      <c r="D778" s="4">
        <v>46070</v>
      </c>
      <c r="E778" s="2" t="s">
        <v>58</v>
      </c>
      <c r="F778" s="2" t="s">
        <v>42</v>
      </c>
      <c r="G778" s="2" t="s">
        <v>46</v>
      </c>
      <c r="H778" s="2" t="s">
        <v>47</v>
      </c>
      <c r="I778" s="2">
        <v>6</v>
      </c>
      <c r="J778" s="5">
        <v>944252</v>
      </c>
      <c r="K778" s="5">
        <v>35000</v>
      </c>
      <c r="L778" s="2" t="s">
        <v>734</v>
      </c>
      <c r="M778" s="2" t="s">
        <v>36</v>
      </c>
      <c r="N778" s="2" t="s">
        <v>61</v>
      </c>
    </row>
    <row r="779" spans="1:14" x14ac:dyDescent="0.25">
      <c r="A779" s="2" t="s">
        <v>1270</v>
      </c>
      <c r="B779" s="2" t="s">
        <v>1129</v>
      </c>
      <c r="C779" s="2" t="s">
        <v>1072</v>
      </c>
      <c r="D779" s="4">
        <v>46033</v>
      </c>
      <c r="E779" s="2" t="s">
        <v>41</v>
      </c>
      <c r="F779" s="2" t="s">
        <v>65</v>
      </c>
      <c r="G779" s="2" t="s">
        <v>33</v>
      </c>
      <c r="H779" s="2" t="s">
        <v>54</v>
      </c>
      <c r="I779" s="2">
        <v>2</v>
      </c>
      <c r="J779" s="5">
        <v>1094119</v>
      </c>
      <c r="K779" s="5">
        <v>15000</v>
      </c>
      <c r="L779" s="2" t="s">
        <v>35</v>
      </c>
      <c r="M779" s="2" t="s">
        <v>36</v>
      </c>
      <c r="N779" s="2" t="s">
        <v>61</v>
      </c>
    </row>
    <row r="780" spans="1:14" x14ac:dyDescent="0.25">
      <c r="A780" s="2" t="s">
        <v>1271</v>
      </c>
      <c r="B780" s="2" t="s">
        <v>507</v>
      </c>
      <c r="C780" s="2" t="s">
        <v>70</v>
      </c>
      <c r="D780" s="4">
        <v>46157</v>
      </c>
      <c r="E780" s="2" t="s">
        <v>767</v>
      </c>
      <c r="F780" s="2" t="s">
        <v>32</v>
      </c>
      <c r="G780" s="2" t="s">
        <v>85</v>
      </c>
      <c r="H780" s="2" t="s">
        <v>337</v>
      </c>
      <c r="I780" s="2">
        <v>5</v>
      </c>
      <c r="J780" s="5">
        <v>1235213</v>
      </c>
      <c r="K780" s="5">
        <v>50000</v>
      </c>
      <c r="L780" s="2" t="s">
        <v>35</v>
      </c>
      <c r="M780" s="2" t="s">
        <v>71</v>
      </c>
      <c r="N780" s="2" t="s">
        <v>61</v>
      </c>
    </row>
    <row r="781" spans="1:14" x14ac:dyDescent="0.25">
      <c r="A781" s="2" t="s">
        <v>1272</v>
      </c>
      <c r="B781" s="2" t="s">
        <v>305</v>
      </c>
      <c r="C781" s="2" t="s">
        <v>176</v>
      </c>
      <c r="D781" s="4">
        <v>46192</v>
      </c>
      <c r="E781" s="2" t="s">
        <v>53</v>
      </c>
      <c r="F781" s="2" t="s">
        <v>65</v>
      </c>
      <c r="G781" s="2" t="s">
        <v>85</v>
      </c>
      <c r="H781" s="2" t="s">
        <v>34</v>
      </c>
      <c r="I781" s="2"/>
      <c r="J781" s="5">
        <v>2111285</v>
      </c>
      <c r="K781" s="5">
        <v>35000</v>
      </c>
      <c r="L781" s="2" t="s">
        <v>35</v>
      </c>
      <c r="M781" s="2" t="s">
        <v>67</v>
      </c>
      <c r="N781" s="2" t="s">
        <v>61</v>
      </c>
    </row>
    <row r="782" spans="1:14" x14ac:dyDescent="0.25">
      <c r="A782" s="2" t="s">
        <v>1273</v>
      </c>
      <c r="B782" s="2" t="s">
        <v>73</v>
      </c>
      <c r="C782" s="2" t="s">
        <v>74</v>
      </c>
      <c r="D782" s="4">
        <v>46040</v>
      </c>
      <c r="E782" s="2" t="s">
        <v>41</v>
      </c>
      <c r="F782" s="2" t="s">
        <v>32</v>
      </c>
      <c r="G782" s="2" t="s">
        <v>85</v>
      </c>
      <c r="H782" s="2" t="s">
        <v>66</v>
      </c>
      <c r="I782" s="2">
        <v>1</v>
      </c>
      <c r="J782" s="5">
        <v>2123570</v>
      </c>
      <c r="K782" s="5">
        <v>50000</v>
      </c>
      <c r="L782" s="2" t="s">
        <v>35</v>
      </c>
      <c r="M782" s="2" t="s">
        <v>67</v>
      </c>
      <c r="N782" s="2" t="s">
        <v>37</v>
      </c>
    </row>
    <row r="783" spans="1:14" x14ac:dyDescent="0.25">
      <c r="A783" s="2" t="s">
        <v>1274</v>
      </c>
      <c r="B783" s="2" t="s">
        <v>427</v>
      </c>
      <c r="C783" s="2" t="s">
        <v>388</v>
      </c>
      <c r="D783" s="4">
        <v>46133</v>
      </c>
      <c r="E783" s="2" t="s">
        <v>431</v>
      </c>
      <c r="F783" s="2" t="s">
        <v>59</v>
      </c>
      <c r="G783" s="2" t="s">
        <v>60</v>
      </c>
      <c r="H783" s="2" t="s">
        <v>76</v>
      </c>
      <c r="I783" s="2">
        <v>7</v>
      </c>
      <c r="J783" s="5">
        <v>299972</v>
      </c>
      <c r="K783" s="5">
        <v>25000</v>
      </c>
      <c r="L783" s="2" t="s">
        <v>35</v>
      </c>
      <c r="M783" s="2" t="s">
        <v>67</v>
      </c>
      <c r="N783" s="2" t="s">
        <v>61</v>
      </c>
    </row>
    <row r="784" spans="1:14" x14ac:dyDescent="0.25">
      <c r="A784" s="2" t="s">
        <v>1275</v>
      </c>
      <c r="B784" s="2" t="s">
        <v>1276</v>
      </c>
      <c r="C784" s="2" t="s">
        <v>241</v>
      </c>
      <c r="D784" s="4">
        <v>46055</v>
      </c>
      <c r="E784" s="2" t="s">
        <v>31</v>
      </c>
      <c r="F784" s="2" t="s">
        <v>42</v>
      </c>
      <c r="G784" s="2" t="s">
        <v>46</v>
      </c>
      <c r="H784" s="2" t="s">
        <v>76</v>
      </c>
      <c r="I784" s="2">
        <v>7</v>
      </c>
      <c r="J784" s="5">
        <v>2130605</v>
      </c>
      <c r="K784" s="5">
        <v>50000</v>
      </c>
      <c r="L784" s="2" t="s">
        <v>35</v>
      </c>
      <c r="M784" s="2" t="s">
        <v>36</v>
      </c>
      <c r="N784" s="2" t="s">
        <v>37</v>
      </c>
    </row>
    <row r="785" spans="1:14" x14ac:dyDescent="0.25">
      <c r="A785" s="2" t="s">
        <v>1277</v>
      </c>
      <c r="B785" s="2" t="s">
        <v>231</v>
      </c>
      <c r="C785" s="2" t="s">
        <v>198</v>
      </c>
      <c r="D785" s="4">
        <v>46042</v>
      </c>
      <c r="E785" s="2" t="s">
        <v>31</v>
      </c>
      <c r="F785" s="2" t="s">
        <v>65</v>
      </c>
      <c r="G785" s="2" t="s">
        <v>33</v>
      </c>
      <c r="H785" s="2" t="s">
        <v>66</v>
      </c>
      <c r="I785" s="2">
        <v>1</v>
      </c>
      <c r="J785" s="5">
        <v>1935049</v>
      </c>
      <c r="K785" s="5">
        <v>50000</v>
      </c>
      <c r="L785" s="2" t="s">
        <v>35</v>
      </c>
      <c r="M785" s="2" t="s">
        <v>36</v>
      </c>
      <c r="N785" s="2" t="s">
        <v>37</v>
      </c>
    </row>
    <row r="786" spans="1:14" x14ac:dyDescent="0.25">
      <c r="A786" s="2" t="s">
        <v>1278</v>
      </c>
      <c r="B786" s="2" t="s">
        <v>51</v>
      </c>
      <c r="C786" s="2" t="s">
        <v>52</v>
      </c>
      <c r="D786" s="4">
        <v>46141</v>
      </c>
      <c r="E786" s="2" t="s">
        <v>80</v>
      </c>
      <c r="F786" s="2" t="s">
        <v>59</v>
      </c>
      <c r="G786" s="2" t="s">
        <v>465</v>
      </c>
      <c r="H786" s="2" t="s">
        <v>47</v>
      </c>
      <c r="I786" s="2">
        <v>7</v>
      </c>
      <c r="J786" s="5">
        <v>1552281</v>
      </c>
      <c r="K786" s="5">
        <v>25000</v>
      </c>
      <c r="L786" s="2" t="s">
        <v>35</v>
      </c>
      <c r="M786" s="2" t="s">
        <v>67</v>
      </c>
      <c r="N786" s="2" t="s">
        <v>37</v>
      </c>
    </row>
    <row r="787" spans="1:14" x14ac:dyDescent="0.25">
      <c r="A787" s="2" t="s">
        <v>1279</v>
      </c>
      <c r="B787" s="2" t="s">
        <v>903</v>
      </c>
      <c r="C787" s="2" t="s">
        <v>173</v>
      </c>
      <c r="D787" s="4">
        <v>46199</v>
      </c>
      <c r="E787" s="2" t="s">
        <v>41</v>
      </c>
      <c r="F787" s="2" t="s">
        <v>32</v>
      </c>
      <c r="G787" s="2" t="s">
        <v>81</v>
      </c>
      <c r="H787" s="2" t="s">
        <v>47</v>
      </c>
      <c r="I787" s="2">
        <v>5</v>
      </c>
      <c r="J787" s="5">
        <v>2469597</v>
      </c>
      <c r="K787" s="5">
        <v>50000</v>
      </c>
      <c r="L787" s="2" t="s">
        <v>35</v>
      </c>
      <c r="M787" s="2" t="s">
        <v>36</v>
      </c>
      <c r="N787" s="2" t="s">
        <v>37</v>
      </c>
    </row>
    <row r="788" spans="1:14" x14ac:dyDescent="0.25">
      <c r="A788" s="2" t="s">
        <v>1280</v>
      </c>
      <c r="B788" s="2" t="s">
        <v>157</v>
      </c>
      <c r="C788" s="2" t="s">
        <v>158</v>
      </c>
      <c r="D788" s="4">
        <v>46155</v>
      </c>
      <c r="E788" s="2" t="s">
        <v>80</v>
      </c>
      <c r="F788" s="2" t="s">
        <v>42</v>
      </c>
      <c r="G788" s="2" t="s">
        <v>33</v>
      </c>
      <c r="H788" s="2" t="s">
        <v>66</v>
      </c>
      <c r="I788" s="2">
        <v>6</v>
      </c>
      <c r="J788" s="5">
        <v>383965</v>
      </c>
      <c r="K788" s="5">
        <v>25000</v>
      </c>
      <c r="L788" s="2" t="s">
        <v>35</v>
      </c>
      <c r="M788" s="2" t="s">
        <v>67</v>
      </c>
      <c r="N788" s="2" t="s">
        <v>61</v>
      </c>
    </row>
    <row r="789" spans="1:14" x14ac:dyDescent="0.25">
      <c r="A789" s="2" t="s">
        <v>1281</v>
      </c>
      <c r="B789" s="2" t="s">
        <v>830</v>
      </c>
      <c r="C789" s="2" t="s">
        <v>224</v>
      </c>
      <c r="D789" s="4">
        <v>46071</v>
      </c>
      <c r="E789" s="2" t="s">
        <v>80</v>
      </c>
      <c r="F789" s="2" t="s">
        <v>59</v>
      </c>
      <c r="G789" s="2" t="s">
        <v>75</v>
      </c>
      <c r="H789" s="2" t="s">
        <v>34</v>
      </c>
      <c r="I789" s="2">
        <v>2</v>
      </c>
      <c r="J789" s="5">
        <v>1581770</v>
      </c>
      <c r="K789" s="5">
        <v>25000</v>
      </c>
      <c r="L789" s="2" t="s">
        <v>48</v>
      </c>
      <c r="M789" s="2" t="s">
        <v>71</v>
      </c>
      <c r="N789" s="2" t="s">
        <v>61</v>
      </c>
    </row>
    <row r="790" spans="1:14" x14ac:dyDescent="0.25">
      <c r="A790" s="2" t="s">
        <v>1282</v>
      </c>
      <c r="B790" s="2" t="s">
        <v>710</v>
      </c>
      <c r="C790" s="2" t="s">
        <v>101</v>
      </c>
      <c r="D790" s="4">
        <v>46199</v>
      </c>
      <c r="E790" s="2" t="s">
        <v>53</v>
      </c>
      <c r="F790" s="2" t="s">
        <v>32</v>
      </c>
      <c r="G790" s="2" t="s">
        <v>85</v>
      </c>
      <c r="H790" s="2" t="s">
        <v>47</v>
      </c>
      <c r="I790" s="2">
        <v>6</v>
      </c>
      <c r="J790" s="5">
        <v>1357383</v>
      </c>
      <c r="K790" s="5">
        <v>15000</v>
      </c>
      <c r="L790" s="2" t="s">
        <v>35</v>
      </c>
      <c r="M790" s="2" t="s">
        <v>36</v>
      </c>
      <c r="N790" s="2" t="s">
        <v>61</v>
      </c>
    </row>
    <row r="791" spans="1:14" x14ac:dyDescent="0.25">
      <c r="A791" s="2" t="s">
        <v>1283</v>
      </c>
      <c r="B791" s="2" t="s">
        <v>146</v>
      </c>
      <c r="C791" s="2" t="s">
        <v>40</v>
      </c>
      <c r="D791" s="4">
        <v>46097</v>
      </c>
      <c r="E791" s="2" t="s">
        <v>41</v>
      </c>
      <c r="F791" s="2" t="s">
        <v>32</v>
      </c>
      <c r="G791" s="2" t="s">
        <v>85</v>
      </c>
      <c r="H791" s="2" t="s">
        <v>47</v>
      </c>
      <c r="I791" s="2">
        <v>5</v>
      </c>
      <c r="J791" s="5">
        <v>1156106</v>
      </c>
      <c r="K791" s="5">
        <v>15000</v>
      </c>
      <c r="L791" s="2" t="s">
        <v>48</v>
      </c>
      <c r="M791" s="2" t="s">
        <v>36</v>
      </c>
      <c r="N791" s="2" t="s">
        <v>37</v>
      </c>
    </row>
    <row r="792" spans="1:14" x14ac:dyDescent="0.25">
      <c r="A792" s="2" t="s">
        <v>1284</v>
      </c>
      <c r="B792" s="2" t="s">
        <v>270</v>
      </c>
      <c r="C792" s="2" t="s">
        <v>271</v>
      </c>
      <c r="D792" s="4">
        <v>46092</v>
      </c>
      <c r="E792" s="2" t="s">
        <v>80</v>
      </c>
      <c r="F792" s="2" t="s">
        <v>65</v>
      </c>
      <c r="G792" s="2" t="s">
        <v>60</v>
      </c>
      <c r="H792" s="2" t="s">
        <v>76</v>
      </c>
      <c r="I792" s="2">
        <v>3</v>
      </c>
      <c r="J792" s="5">
        <v>2045517</v>
      </c>
      <c r="K792" s="5">
        <v>50000</v>
      </c>
      <c r="L792" s="2" t="s">
        <v>35</v>
      </c>
      <c r="M792" s="2" t="s">
        <v>36</v>
      </c>
      <c r="N792" s="2" t="s">
        <v>37</v>
      </c>
    </row>
    <row r="793" spans="1:14" x14ac:dyDescent="0.25">
      <c r="A793" s="2" t="s">
        <v>1285</v>
      </c>
      <c r="B793" s="2" t="s">
        <v>571</v>
      </c>
      <c r="C793" s="2" t="s">
        <v>248</v>
      </c>
      <c r="D793" s="4">
        <v>46040</v>
      </c>
      <c r="E793" s="2" t="s">
        <v>53</v>
      </c>
      <c r="F793" s="2" t="s">
        <v>32</v>
      </c>
      <c r="G793" s="2" t="s">
        <v>46</v>
      </c>
      <c r="H793" s="2" t="s">
        <v>76</v>
      </c>
      <c r="I793" s="2">
        <v>4</v>
      </c>
      <c r="J793" s="5">
        <v>912421</v>
      </c>
      <c r="K793" s="5">
        <v>25000</v>
      </c>
      <c r="L793" s="2" t="s">
        <v>35</v>
      </c>
      <c r="M793" s="2" t="s">
        <v>49</v>
      </c>
      <c r="N793" s="2" t="s">
        <v>37</v>
      </c>
    </row>
    <row r="794" spans="1:14" x14ac:dyDescent="0.25">
      <c r="A794" s="2" t="s">
        <v>1286</v>
      </c>
      <c r="B794" s="2" t="s">
        <v>770</v>
      </c>
      <c r="C794" s="2" t="s">
        <v>101</v>
      </c>
      <c r="D794" s="4">
        <v>46091</v>
      </c>
      <c r="E794" s="2" t="s">
        <v>41</v>
      </c>
      <c r="F794" s="2" t="s">
        <v>32</v>
      </c>
      <c r="G794" s="2" t="s">
        <v>81</v>
      </c>
      <c r="H794" s="2" t="s">
        <v>34</v>
      </c>
      <c r="I794" s="2">
        <v>6</v>
      </c>
      <c r="J794" s="5">
        <v>333880</v>
      </c>
      <c r="K794" s="5">
        <v>35000</v>
      </c>
      <c r="L794" s="2" t="s">
        <v>89</v>
      </c>
      <c r="M794" s="2" t="s">
        <v>71</v>
      </c>
      <c r="N794" s="2" t="s">
        <v>61</v>
      </c>
    </row>
    <row r="795" spans="1:14" x14ac:dyDescent="0.25">
      <c r="A795" s="2" t="s">
        <v>1287</v>
      </c>
      <c r="B795" s="2" t="s">
        <v>407</v>
      </c>
      <c r="C795" s="2" t="s">
        <v>200</v>
      </c>
      <c r="D795" s="4">
        <v>46115</v>
      </c>
      <c r="E795" s="2" t="s">
        <v>53</v>
      </c>
      <c r="F795" s="2" t="s">
        <v>32</v>
      </c>
      <c r="G795" s="2" t="s">
        <v>85</v>
      </c>
      <c r="H795" s="2" t="s">
        <v>54</v>
      </c>
      <c r="I795" s="2">
        <v>7</v>
      </c>
      <c r="J795" s="5">
        <v>348598</v>
      </c>
      <c r="K795" s="5">
        <v>0</v>
      </c>
      <c r="L795" s="2" t="s">
        <v>35</v>
      </c>
      <c r="M795" s="2" t="s">
        <v>67</v>
      </c>
      <c r="N795" s="2" t="s">
        <v>37</v>
      </c>
    </row>
    <row r="796" spans="1:14" x14ac:dyDescent="0.25">
      <c r="A796" s="2" t="s">
        <v>1288</v>
      </c>
      <c r="B796" s="2" t="s">
        <v>874</v>
      </c>
      <c r="C796" s="2" t="s">
        <v>393</v>
      </c>
      <c r="D796" s="4">
        <v>46033</v>
      </c>
      <c r="E796" s="2" t="s">
        <v>80</v>
      </c>
      <c r="F796" s="2" t="s">
        <v>32</v>
      </c>
      <c r="G796" s="2" t="s">
        <v>60</v>
      </c>
      <c r="H796" s="2" t="s">
        <v>34</v>
      </c>
      <c r="I796" s="2">
        <v>1</v>
      </c>
      <c r="J796" s="5">
        <v>2496355</v>
      </c>
      <c r="K796" s="5">
        <v>0</v>
      </c>
      <c r="L796" s="2" t="s">
        <v>35</v>
      </c>
      <c r="M796" s="2" t="s">
        <v>49</v>
      </c>
      <c r="N796" s="2" t="s">
        <v>61</v>
      </c>
    </row>
    <row r="797" spans="1:14" x14ac:dyDescent="0.25">
      <c r="A797" s="2" t="s">
        <v>1289</v>
      </c>
      <c r="B797" s="2" t="s">
        <v>528</v>
      </c>
      <c r="C797" s="2" t="s">
        <v>170</v>
      </c>
      <c r="D797" s="4">
        <v>46181</v>
      </c>
      <c r="E797" s="2" t="s">
        <v>80</v>
      </c>
      <c r="F797" s="2" t="s">
        <v>42</v>
      </c>
      <c r="G797" s="2" t="s">
        <v>85</v>
      </c>
      <c r="H797" s="2" t="s">
        <v>47</v>
      </c>
      <c r="I797" s="2">
        <v>3</v>
      </c>
      <c r="J797" s="5">
        <v>1238770</v>
      </c>
      <c r="K797" s="5">
        <v>50000</v>
      </c>
      <c r="L797" s="2" t="s">
        <v>48</v>
      </c>
      <c r="M797" s="2"/>
      <c r="N797" s="2" t="s">
        <v>61</v>
      </c>
    </row>
    <row r="798" spans="1:14" x14ac:dyDescent="0.25">
      <c r="A798" s="2" t="s">
        <v>1290</v>
      </c>
      <c r="B798" s="2" t="s">
        <v>87</v>
      </c>
      <c r="C798" s="2" t="s">
        <v>1291</v>
      </c>
      <c r="D798" s="4">
        <v>46180</v>
      </c>
      <c r="E798" s="2" t="s">
        <v>80</v>
      </c>
      <c r="F798" s="2" t="s">
        <v>59</v>
      </c>
      <c r="G798" s="2" t="s">
        <v>81</v>
      </c>
      <c r="H798" s="2" t="s">
        <v>54</v>
      </c>
      <c r="I798" s="2">
        <v>1</v>
      </c>
      <c r="J798" s="5">
        <v>193151</v>
      </c>
      <c r="K798" s="5">
        <v>15000</v>
      </c>
      <c r="L798" s="2" t="s">
        <v>35</v>
      </c>
      <c r="M798" s="2" t="s">
        <v>36</v>
      </c>
      <c r="N798" s="2" t="s">
        <v>61</v>
      </c>
    </row>
    <row r="799" spans="1:14" x14ac:dyDescent="0.25">
      <c r="A799" s="2" t="s">
        <v>1292</v>
      </c>
      <c r="B799" s="2" t="s">
        <v>250</v>
      </c>
      <c r="C799" s="2" t="s">
        <v>204</v>
      </c>
      <c r="D799" s="4">
        <v>46127</v>
      </c>
      <c r="E799" s="2" t="s">
        <v>31</v>
      </c>
      <c r="F799" s="2" t="s">
        <v>32</v>
      </c>
      <c r="G799" s="2" t="s">
        <v>81</v>
      </c>
      <c r="H799" s="2" t="s">
        <v>54</v>
      </c>
      <c r="I799" s="2">
        <v>4</v>
      </c>
      <c r="J799" s="5">
        <v>1046829</v>
      </c>
      <c r="K799" s="5">
        <v>15000</v>
      </c>
      <c r="L799" s="2" t="s">
        <v>35</v>
      </c>
      <c r="M799" s="2" t="s">
        <v>71</v>
      </c>
      <c r="N799" s="2" t="s">
        <v>61</v>
      </c>
    </row>
    <row r="800" spans="1:14" x14ac:dyDescent="0.25">
      <c r="A800" s="2" t="s">
        <v>1293</v>
      </c>
      <c r="B800" s="2" t="s">
        <v>726</v>
      </c>
      <c r="C800" s="2" t="s">
        <v>727</v>
      </c>
      <c r="D800" s="2" t="s">
        <v>1294</v>
      </c>
      <c r="E800" s="2" t="s">
        <v>31</v>
      </c>
      <c r="F800" s="2" t="s">
        <v>42</v>
      </c>
      <c r="G800" s="2" t="s">
        <v>81</v>
      </c>
      <c r="H800" s="2" t="s">
        <v>54</v>
      </c>
      <c r="I800" s="2">
        <v>7</v>
      </c>
      <c r="J800" s="5">
        <v>1945332</v>
      </c>
      <c r="K800" s="5">
        <v>50000</v>
      </c>
      <c r="L800" s="2" t="s">
        <v>35</v>
      </c>
      <c r="M800" s="2" t="s">
        <v>36</v>
      </c>
      <c r="N800" s="2" t="s">
        <v>37</v>
      </c>
    </row>
    <row r="801" spans="1:14" x14ac:dyDescent="0.25">
      <c r="A801" s="2" t="s">
        <v>1295</v>
      </c>
      <c r="B801" s="2" t="s">
        <v>530</v>
      </c>
      <c r="C801" s="2" t="s">
        <v>382</v>
      </c>
      <c r="D801" s="4">
        <v>46136</v>
      </c>
      <c r="E801" s="2" t="s">
        <v>58</v>
      </c>
      <c r="F801" s="2" t="s">
        <v>32</v>
      </c>
      <c r="G801" s="2" t="s">
        <v>85</v>
      </c>
      <c r="H801" s="2" t="s">
        <v>47</v>
      </c>
      <c r="I801" s="2">
        <v>6</v>
      </c>
      <c r="J801" s="5">
        <v>1976095</v>
      </c>
      <c r="K801" s="5">
        <v>15000</v>
      </c>
      <c r="L801" s="2" t="s">
        <v>48</v>
      </c>
      <c r="M801" s="2" t="s">
        <v>49</v>
      </c>
      <c r="N801" s="2" t="s">
        <v>37</v>
      </c>
    </row>
    <row r="802" spans="1:14" x14ac:dyDescent="0.25">
      <c r="A802" s="2" t="s">
        <v>1296</v>
      </c>
      <c r="B802" s="2" t="s">
        <v>405</v>
      </c>
      <c r="C802" s="2" t="s">
        <v>107</v>
      </c>
      <c r="D802" s="4">
        <v>46157</v>
      </c>
      <c r="E802" s="2" t="s">
        <v>41</v>
      </c>
      <c r="F802" s="2" t="s">
        <v>42</v>
      </c>
      <c r="G802" s="2" t="s">
        <v>33</v>
      </c>
      <c r="H802" s="2" t="s">
        <v>34</v>
      </c>
      <c r="I802" s="2">
        <v>1</v>
      </c>
      <c r="J802" s="5"/>
      <c r="K802" s="5">
        <v>25000</v>
      </c>
      <c r="L802" s="2" t="s">
        <v>123</v>
      </c>
      <c r="M802" s="2" t="s">
        <v>36</v>
      </c>
      <c r="N802" s="2" t="s">
        <v>61</v>
      </c>
    </row>
    <row r="803" spans="1:14" x14ac:dyDescent="0.25">
      <c r="A803" s="2" t="s">
        <v>1297</v>
      </c>
      <c r="B803" s="2" t="s">
        <v>154</v>
      </c>
      <c r="C803" s="2" t="s">
        <v>84</v>
      </c>
      <c r="D803" s="4">
        <v>46201</v>
      </c>
      <c r="E803" s="2" t="s">
        <v>80</v>
      </c>
      <c r="F803" s="2" t="s">
        <v>59</v>
      </c>
      <c r="G803" s="2" t="s">
        <v>33</v>
      </c>
      <c r="H803" s="2" t="s">
        <v>34</v>
      </c>
      <c r="I803" s="2">
        <v>7</v>
      </c>
      <c r="J803" s="5">
        <v>1704038</v>
      </c>
      <c r="K803" s="5">
        <v>15000</v>
      </c>
      <c r="L803" s="2" t="s">
        <v>35</v>
      </c>
      <c r="M803" s="2" t="s">
        <v>67</v>
      </c>
      <c r="N803" s="2" t="s">
        <v>37</v>
      </c>
    </row>
    <row r="804" spans="1:14" x14ac:dyDescent="0.25">
      <c r="A804" s="2" t="s">
        <v>1298</v>
      </c>
      <c r="B804" s="2" t="s">
        <v>766</v>
      </c>
      <c r="C804" s="2" t="s">
        <v>152</v>
      </c>
      <c r="D804" s="4">
        <v>46082</v>
      </c>
      <c r="E804" s="2" t="s">
        <v>58</v>
      </c>
      <c r="F804" s="2" t="s">
        <v>59</v>
      </c>
      <c r="G804" s="2" t="s">
        <v>75</v>
      </c>
      <c r="H804" s="2" t="s">
        <v>130</v>
      </c>
      <c r="I804" s="2">
        <v>4</v>
      </c>
      <c r="J804" s="5">
        <v>1711503</v>
      </c>
      <c r="K804" s="5">
        <v>50000</v>
      </c>
      <c r="L804" s="2" t="s">
        <v>89</v>
      </c>
      <c r="M804" s="2" t="s">
        <v>71</v>
      </c>
      <c r="N804" s="2" t="s">
        <v>37</v>
      </c>
    </row>
    <row r="805" spans="1:14" x14ac:dyDescent="0.25">
      <c r="A805" s="2" t="s">
        <v>1299</v>
      </c>
      <c r="B805" s="2" t="s">
        <v>665</v>
      </c>
      <c r="C805" s="2" t="s">
        <v>442</v>
      </c>
      <c r="D805" s="4">
        <v>46111</v>
      </c>
      <c r="E805" s="2" t="s">
        <v>41</v>
      </c>
      <c r="F805" s="2" t="s">
        <v>65</v>
      </c>
      <c r="G805" s="2" t="s">
        <v>60</v>
      </c>
      <c r="H805" s="2" t="s">
        <v>66</v>
      </c>
      <c r="I805" s="2">
        <v>1</v>
      </c>
      <c r="J805" s="5">
        <v>1627938</v>
      </c>
      <c r="K805" s="5">
        <v>35000</v>
      </c>
      <c r="L805" s="2" t="s">
        <v>35</v>
      </c>
      <c r="M805" s="2" t="s">
        <v>36</v>
      </c>
      <c r="N805" s="2" t="s">
        <v>37</v>
      </c>
    </row>
    <row r="806" spans="1:14" x14ac:dyDescent="0.25">
      <c r="A806" s="2" t="s">
        <v>1300</v>
      </c>
      <c r="B806" s="2" t="s">
        <v>683</v>
      </c>
      <c r="C806" s="2" t="s">
        <v>170</v>
      </c>
      <c r="D806" s="4">
        <v>46091</v>
      </c>
      <c r="E806" s="2" t="s">
        <v>53</v>
      </c>
      <c r="F806" s="2" t="s">
        <v>42</v>
      </c>
      <c r="G806" s="2" t="s">
        <v>81</v>
      </c>
      <c r="H806" s="2" t="s">
        <v>47</v>
      </c>
      <c r="I806" s="2">
        <v>4</v>
      </c>
      <c r="J806" s="5">
        <v>1657609</v>
      </c>
      <c r="K806" s="5">
        <v>25000</v>
      </c>
      <c r="L806" s="2" t="s">
        <v>35</v>
      </c>
      <c r="M806" s="2" t="s">
        <v>67</v>
      </c>
      <c r="N806" s="2" t="s">
        <v>37</v>
      </c>
    </row>
    <row r="807" spans="1:14" x14ac:dyDescent="0.25">
      <c r="A807" s="2" t="s">
        <v>1301</v>
      </c>
      <c r="B807" s="2" t="s">
        <v>1194</v>
      </c>
      <c r="C807" s="2" t="s">
        <v>79</v>
      </c>
      <c r="D807" s="4">
        <v>46081</v>
      </c>
      <c r="E807" s="2" t="s">
        <v>80</v>
      </c>
      <c r="F807" s="2" t="s">
        <v>65</v>
      </c>
      <c r="G807" s="2" t="s">
        <v>46</v>
      </c>
      <c r="H807" s="2" t="s">
        <v>66</v>
      </c>
      <c r="I807" s="2">
        <v>1</v>
      </c>
      <c r="J807" s="5">
        <v>497372</v>
      </c>
      <c r="K807" s="5">
        <v>15000</v>
      </c>
      <c r="L807" s="2" t="s">
        <v>35</v>
      </c>
      <c r="M807" s="2" t="s">
        <v>36</v>
      </c>
      <c r="N807" s="2" t="s">
        <v>37</v>
      </c>
    </row>
    <row r="808" spans="1:14" x14ac:dyDescent="0.25">
      <c r="A808" s="2" t="s">
        <v>1302</v>
      </c>
      <c r="B808" s="2" t="s">
        <v>1303</v>
      </c>
      <c r="C808" s="2" t="s">
        <v>133</v>
      </c>
      <c r="D808" s="4">
        <v>46098</v>
      </c>
      <c r="E808" s="2" t="s">
        <v>31</v>
      </c>
      <c r="F808" s="2" t="s">
        <v>65</v>
      </c>
      <c r="G808" s="2" t="s">
        <v>85</v>
      </c>
      <c r="H808" s="2" t="s">
        <v>54</v>
      </c>
      <c r="I808" s="2">
        <v>3</v>
      </c>
      <c r="J808" s="5">
        <v>714056</v>
      </c>
      <c r="K808" s="5">
        <v>35000</v>
      </c>
      <c r="L808" s="2" t="s">
        <v>48</v>
      </c>
      <c r="M808" s="2" t="s">
        <v>71</v>
      </c>
      <c r="N808" s="2" t="s">
        <v>61</v>
      </c>
    </row>
    <row r="809" spans="1:14" x14ac:dyDescent="0.25">
      <c r="A809" s="2" t="s">
        <v>1304</v>
      </c>
      <c r="B809" s="2" t="s">
        <v>665</v>
      </c>
      <c r="C809" s="2" t="s">
        <v>442</v>
      </c>
      <c r="D809" s="4">
        <v>46190</v>
      </c>
      <c r="E809" s="2" t="s">
        <v>31</v>
      </c>
      <c r="F809" s="2" t="s">
        <v>42</v>
      </c>
      <c r="G809" s="2" t="s">
        <v>81</v>
      </c>
      <c r="H809" s="2" t="s">
        <v>34</v>
      </c>
      <c r="I809" s="2">
        <v>5</v>
      </c>
      <c r="J809" s="5">
        <v>857962</v>
      </c>
      <c r="K809" s="5">
        <v>25000</v>
      </c>
      <c r="L809" s="2" t="s">
        <v>35</v>
      </c>
      <c r="M809" s="2" t="s">
        <v>36</v>
      </c>
      <c r="N809" s="2" t="s">
        <v>61</v>
      </c>
    </row>
    <row r="810" spans="1:14" x14ac:dyDescent="0.25">
      <c r="A810" s="2" t="s">
        <v>1305</v>
      </c>
      <c r="B810" s="2" t="s">
        <v>237</v>
      </c>
      <c r="C810" s="2" t="s">
        <v>238</v>
      </c>
      <c r="D810" s="4">
        <v>46048</v>
      </c>
      <c r="E810" s="2" t="s">
        <v>80</v>
      </c>
      <c r="F810" s="2" t="s">
        <v>42</v>
      </c>
      <c r="G810" s="2" t="s">
        <v>714</v>
      </c>
      <c r="H810" s="2" t="s">
        <v>76</v>
      </c>
      <c r="I810" s="2">
        <v>5</v>
      </c>
      <c r="J810" s="5">
        <v>1248452</v>
      </c>
      <c r="K810" s="5">
        <v>15000</v>
      </c>
      <c r="L810" s="2" t="s">
        <v>35</v>
      </c>
      <c r="M810" s="2" t="s">
        <v>36</v>
      </c>
      <c r="N810" s="2" t="s">
        <v>61</v>
      </c>
    </row>
    <row r="811" spans="1:14" x14ac:dyDescent="0.25">
      <c r="A811" s="2" t="s">
        <v>1306</v>
      </c>
      <c r="B811" s="2" t="s">
        <v>699</v>
      </c>
      <c r="C811" s="2" t="s">
        <v>104</v>
      </c>
      <c r="D811" s="4">
        <v>46025</v>
      </c>
      <c r="E811" s="2" t="s">
        <v>53</v>
      </c>
      <c r="F811" s="2" t="s">
        <v>65</v>
      </c>
      <c r="G811" s="2" t="s">
        <v>60</v>
      </c>
      <c r="H811" s="2" t="s">
        <v>34</v>
      </c>
      <c r="I811" s="2">
        <v>7</v>
      </c>
      <c r="J811" s="5">
        <v>1485153</v>
      </c>
      <c r="K811" s="5">
        <v>15000</v>
      </c>
      <c r="L811" s="2" t="s">
        <v>35</v>
      </c>
      <c r="M811" s="2" t="s">
        <v>71</v>
      </c>
      <c r="N811" s="2" t="s">
        <v>61</v>
      </c>
    </row>
    <row r="812" spans="1:14" x14ac:dyDescent="0.25">
      <c r="A812" s="2" t="s">
        <v>1307</v>
      </c>
      <c r="B812" s="2" t="s">
        <v>1194</v>
      </c>
      <c r="C812" s="2" t="s">
        <v>79</v>
      </c>
      <c r="D812" s="4">
        <v>46143</v>
      </c>
      <c r="E812" s="2" t="s">
        <v>80</v>
      </c>
      <c r="F812" s="2" t="s">
        <v>59</v>
      </c>
      <c r="G812" s="2" t="s">
        <v>85</v>
      </c>
      <c r="H812" s="2" t="s">
        <v>47</v>
      </c>
      <c r="I812" s="2">
        <v>2</v>
      </c>
      <c r="J812" s="5">
        <v>773931</v>
      </c>
      <c r="K812" s="5">
        <v>15000</v>
      </c>
      <c r="L812" s="2" t="s">
        <v>48</v>
      </c>
      <c r="M812" s="2" t="s">
        <v>71</v>
      </c>
      <c r="N812" s="2" t="s">
        <v>61</v>
      </c>
    </row>
    <row r="813" spans="1:14" x14ac:dyDescent="0.25">
      <c r="A813" s="2" t="s">
        <v>1308</v>
      </c>
      <c r="B813" s="2" t="s">
        <v>707</v>
      </c>
      <c r="C813" s="2" t="s">
        <v>70</v>
      </c>
      <c r="D813" s="4">
        <v>46051</v>
      </c>
      <c r="E813" s="2" t="s">
        <v>41</v>
      </c>
      <c r="F813" s="2" t="s">
        <v>42</v>
      </c>
      <c r="G813" s="2" t="s">
        <v>81</v>
      </c>
      <c r="H813" s="2" t="s">
        <v>66</v>
      </c>
      <c r="I813" s="2">
        <v>6</v>
      </c>
      <c r="J813" s="5">
        <v>1161088</v>
      </c>
      <c r="K813" s="5">
        <v>15000</v>
      </c>
      <c r="L813" s="2" t="s">
        <v>35</v>
      </c>
      <c r="M813" s="2" t="s">
        <v>67</v>
      </c>
      <c r="N813" s="2" t="s">
        <v>37</v>
      </c>
    </row>
    <row r="814" spans="1:14" x14ac:dyDescent="0.25">
      <c r="A814" s="2" t="s">
        <v>1309</v>
      </c>
      <c r="B814" s="2" t="s">
        <v>595</v>
      </c>
      <c r="C814" s="2" t="s">
        <v>107</v>
      </c>
      <c r="D814" s="4">
        <v>46148</v>
      </c>
      <c r="E814" s="2" t="s">
        <v>41</v>
      </c>
      <c r="F814" s="2" t="s">
        <v>656</v>
      </c>
      <c r="G814" s="2" t="s">
        <v>46</v>
      </c>
      <c r="H814" s="2" t="s">
        <v>76</v>
      </c>
      <c r="I814" s="2">
        <v>5</v>
      </c>
      <c r="J814" s="5">
        <v>1776821</v>
      </c>
      <c r="K814" s="5">
        <v>50000</v>
      </c>
      <c r="L814" s="2" t="s">
        <v>35</v>
      </c>
      <c r="M814" s="2" t="s">
        <v>71</v>
      </c>
      <c r="N814" s="2" t="s">
        <v>37</v>
      </c>
    </row>
    <row r="815" spans="1:14" x14ac:dyDescent="0.25">
      <c r="A815" s="2" t="s">
        <v>1310</v>
      </c>
      <c r="B815" s="2" t="s">
        <v>555</v>
      </c>
      <c r="C815" s="2" t="s">
        <v>238</v>
      </c>
      <c r="D815" s="4">
        <v>46087</v>
      </c>
      <c r="E815" s="2" t="s">
        <v>58</v>
      </c>
      <c r="F815" s="2" t="s">
        <v>42</v>
      </c>
      <c r="G815" s="2" t="s">
        <v>81</v>
      </c>
      <c r="H815" s="2" t="s">
        <v>76</v>
      </c>
      <c r="I815" s="2">
        <v>2</v>
      </c>
      <c r="J815" s="5">
        <v>2315594</v>
      </c>
      <c r="K815" s="5">
        <v>35000</v>
      </c>
      <c r="L815" s="2" t="s">
        <v>35</v>
      </c>
      <c r="M815" s="2" t="s">
        <v>36</v>
      </c>
      <c r="N815" s="2" t="s">
        <v>37</v>
      </c>
    </row>
    <row r="816" spans="1:14" x14ac:dyDescent="0.25">
      <c r="A816" s="2" t="s">
        <v>1311</v>
      </c>
      <c r="B816" s="2" t="s">
        <v>392</v>
      </c>
      <c r="C816" s="2" t="s">
        <v>393</v>
      </c>
      <c r="D816" s="4">
        <v>46099</v>
      </c>
      <c r="E816" s="2" t="s">
        <v>58</v>
      </c>
      <c r="F816" s="2" t="s">
        <v>32</v>
      </c>
      <c r="G816" s="2" t="s">
        <v>60</v>
      </c>
      <c r="H816" s="2" t="s">
        <v>34</v>
      </c>
      <c r="I816" s="2">
        <v>4</v>
      </c>
      <c r="J816" s="5">
        <v>604593</v>
      </c>
      <c r="K816" s="5">
        <v>50000</v>
      </c>
      <c r="L816" s="2" t="s">
        <v>35</v>
      </c>
      <c r="M816" s="2" t="s">
        <v>67</v>
      </c>
      <c r="N816" s="2" t="s">
        <v>61</v>
      </c>
    </row>
    <row r="817" spans="1:14" x14ac:dyDescent="0.25">
      <c r="A817" s="2" t="s">
        <v>1312</v>
      </c>
      <c r="B817" s="2" t="s">
        <v>161</v>
      </c>
      <c r="C817" s="2" t="s">
        <v>136</v>
      </c>
      <c r="D817" s="4">
        <v>46134</v>
      </c>
      <c r="E817" s="2" t="s">
        <v>767</v>
      </c>
      <c r="F817" s="2" t="s">
        <v>32</v>
      </c>
      <c r="G817" s="2" t="s">
        <v>60</v>
      </c>
      <c r="H817" s="2" t="s">
        <v>34</v>
      </c>
      <c r="I817" s="2">
        <v>7</v>
      </c>
      <c r="J817" s="5">
        <v>737276</v>
      </c>
      <c r="K817" s="5">
        <v>35000</v>
      </c>
      <c r="L817" s="2" t="s">
        <v>35</v>
      </c>
      <c r="M817" s="2" t="s">
        <v>36</v>
      </c>
      <c r="N817" s="2" t="s">
        <v>61</v>
      </c>
    </row>
    <row r="818" spans="1:14" x14ac:dyDescent="0.25">
      <c r="A818" s="2" t="s">
        <v>1313</v>
      </c>
      <c r="B818" s="2" t="s">
        <v>434</v>
      </c>
      <c r="C818" s="2" t="s">
        <v>435</v>
      </c>
      <c r="D818" s="4">
        <v>46081</v>
      </c>
      <c r="E818" s="2" t="s">
        <v>80</v>
      </c>
      <c r="F818" s="2" t="s">
        <v>42</v>
      </c>
      <c r="G818" s="2" t="s">
        <v>60</v>
      </c>
      <c r="H818" s="2" t="s">
        <v>34</v>
      </c>
      <c r="I818" s="2">
        <v>4</v>
      </c>
      <c r="J818" s="5" t="s">
        <v>1314</v>
      </c>
      <c r="K818" s="5">
        <v>25000</v>
      </c>
      <c r="L818" s="2" t="s">
        <v>35</v>
      </c>
      <c r="M818" s="2" t="s">
        <v>36</v>
      </c>
      <c r="N818" s="2" t="s">
        <v>37</v>
      </c>
    </row>
    <row r="819" spans="1:14" x14ac:dyDescent="0.25">
      <c r="A819" s="2" t="s">
        <v>1315</v>
      </c>
      <c r="B819" s="2" t="s">
        <v>296</v>
      </c>
      <c r="C819" s="2" t="s">
        <v>144</v>
      </c>
      <c r="D819" s="4">
        <v>46085</v>
      </c>
      <c r="E819" s="2" t="s">
        <v>41</v>
      </c>
      <c r="F819" s="2" t="s">
        <v>59</v>
      </c>
      <c r="G819" s="2" t="s">
        <v>81</v>
      </c>
      <c r="H819" s="2" t="s">
        <v>76</v>
      </c>
      <c r="I819" s="2">
        <v>3</v>
      </c>
      <c r="J819" s="5">
        <v>730428</v>
      </c>
      <c r="K819" s="5">
        <v>0</v>
      </c>
      <c r="L819" s="2" t="s">
        <v>35</v>
      </c>
      <c r="M819" s="2" t="s">
        <v>36</v>
      </c>
      <c r="N819" s="2" t="s">
        <v>37</v>
      </c>
    </row>
    <row r="820" spans="1:14" x14ac:dyDescent="0.25">
      <c r="A820" s="2" t="s">
        <v>1316</v>
      </c>
      <c r="B820" s="2" t="s">
        <v>635</v>
      </c>
      <c r="C820" s="2" t="s">
        <v>636</v>
      </c>
      <c r="D820" s="4">
        <v>46154</v>
      </c>
      <c r="E820" s="2" t="s">
        <v>41</v>
      </c>
      <c r="F820" s="2" t="s">
        <v>65</v>
      </c>
      <c r="G820" s="2" t="s">
        <v>33</v>
      </c>
      <c r="H820" s="2" t="s">
        <v>66</v>
      </c>
      <c r="I820" s="2">
        <v>1</v>
      </c>
      <c r="J820" s="5">
        <v>2433606</v>
      </c>
      <c r="K820" s="5">
        <v>35000</v>
      </c>
      <c r="L820" s="2" t="s">
        <v>245</v>
      </c>
      <c r="M820" s="2" t="s">
        <v>71</v>
      </c>
      <c r="N820" s="2" t="s">
        <v>61</v>
      </c>
    </row>
    <row r="821" spans="1:14" x14ac:dyDescent="0.25">
      <c r="A821" s="2" t="s">
        <v>1317</v>
      </c>
      <c r="B821" s="2" t="s">
        <v>218</v>
      </c>
      <c r="C821" s="2" t="s">
        <v>219</v>
      </c>
      <c r="D821" s="4">
        <v>46152</v>
      </c>
      <c r="E821" s="2" t="s">
        <v>80</v>
      </c>
      <c r="F821" s="2" t="s">
        <v>65</v>
      </c>
      <c r="G821" s="2" t="s">
        <v>81</v>
      </c>
      <c r="H821" s="2" t="s">
        <v>76</v>
      </c>
      <c r="I821" s="2">
        <v>1</v>
      </c>
      <c r="J821" s="5">
        <v>816025</v>
      </c>
      <c r="K821" s="5">
        <v>0</v>
      </c>
      <c r="L821" s="2" t="s">
        <v>35</v>
      </c>
      <c r="M821" s="2" t="s">
        <v>36</v>
      </c>
      <c r="N821" s="2" t="s">
        <v>61</v>
      </c>
    </row>
    <row r="822" spans="1:14" x14ac:dyDescent="0.25">
      <c r="A822" s="2" t="s">
        <v>1318</v>
      </c>
      <c r="B822" s="2" t="s">
        <v>369</v>
      </c>
      <c r="C822" s="2" t="s">
        <v>603</v>
      </c>
      <c r="D822" s="4">
        <v>46156</v>
      </c>
      <c r="E822" s="2" t="s">
        <v>41</v>
      </c>
      <c r="F822" s="2" t="s">
        <v>32</v>
      </c>
      <c r="G822" s="2" t="s">
        <v>46</v>
      </c>
      <c r="H822" s="2" t="s">
        <v>66</v>
      </c>
      <c r="I822" s="2">
        <v>4</v>
      </c>
      <c r="J822" s="5">
        <v>1677204</v>
      </c>
      <c r="K822" s="5">
        <v>0</v>
      </c>
      <c r="L822" s="2" t="s">
        <v>35</v>
      </c>
      <c r="M822" s="2" t="s">
        <v>71</v>
      </c>
      <c r="N822" s="2" t="s">
        <v>37</v>
      </c>
    </row>
    <row r="823" spans="1:14" x14ac:dyDescent="0.25">
      <c r="A823" s="2" t="s">
        <v>1319</v>
      </c>
      <c r="B823" s="2" t="s">
        <v>517</v>
      </c>
      <c r="C823" s="2" t="s">
        <v>470</v>
      </c>
      <c r="D823" s="4">
        <v>46036</v>
      </c>
      <c r="E823" s="2" t="s">
        <v>53</v>
      </c>
      <c r="F823" s="2" t="s">
        <v>65</v>
      </c>
      <c r="G823" s="2" t="s">
        <v>75</v>
      </c>
      <c r="H823" s="2" t="s">
        <v>76</v>
      </c>
      <c r="I823" s="2">
        <v>1</v>
      </c>
      <c r="J823" s="5">
        <v>2288444</v>
      </c>
      <c r="K823" s="5">
        <v>50000</v>
      </c>
      <c r="L823" s="2" t="s">
        <v>48</v>
      </c>
      <c r="M823" s="2" t="s">
        <v>71</v>
      </c>
      <c r="N823" s="2" t="s">
        <v>61</v>
      </c>
    </row>
    <row r="824" spans="1:14" x14ac:dyDescent="0.25">
      <c r="A824" s="2" t="s">
        <v>1320</v>
      </c>
      <c r="B824" s="2" t="s">
        <v>638</v>
      </c>
      <c r="C824" s="2" t="s">
        <v>241</v>
      </c>
      <c r="D824" s="4">
        <v>46119</v>
      </c>
      <c r="E824" s="2" t="s">
        <v>31</v>
      </c>
      <c r="F824" s="2" t="s">
        <v>42</v>
      </c>
      <c r="G824" s="2" t="s">
        <v>81</v>
      </c>
      <c r="H824" s="2" t="s">
        <v>76</v>
      </c>
      <c r="I824" s="2">
        <v>6</v>
      </c>
      <c r="J824" s="5">
        <v>1504758</v>
      </c>
      <c r="K824" s="5">
        <v>35000</v>
      </c>
      <c r="L824" s="2" t="s">
        <v>35</v>
      </c>
      <c r="M824" s="2" t="s">
        <v>67</v>
      </c>
      <c r="N824" s="2" t="s">
        <v>37</v>
      </c>
    </row>
    <row r="825" spans="1:14" x14ac:dyDescent="0.25">
      <c r="A825" s="2" t="s">
        <v>1321</v>
      </c>
      <c r="B825" s="2" t="s">
        <v>91</v>
      </c>
      <c r="C825" s="2" t="s">
        <v>92</v>
      </c>
      <c r="D825" s="4">
        <v>46123</v>
      </c>
      <c r="E825" s="2" t="s">
        <v>31</v>
      </c>
      <c r="F825" s="2" t="s">
        <v>59</v>
      </c>
      <c r="G825" s="2" t="s">
        <v>46</v>
      </c>
      <c r="H825" s="2" t="s">
        <v>34</v>
      </c>
      <c r="I825" s="2">
        <v>1</v>
      </c>
      <c r="J825" s="5">
        <v>1043743</v>
      </c>
      <c r="K825" s="5">
        <v>0</v>
      </c>
      <c r="L825" s="2" t="s">
        <v>35</v>
      </c>
      <c r="M825" s="2" t="s">
        <v>49</v>
      </c>
      <c r="N825" s="2" t="s">
        <v>37</v>
      </c>
    </row>
    <row r="826" spans="1:14" x14ac:dyDescent="0.25">
      <c r="A826" s="2" t="s">
        <v>145</v>
      </c>
      <c r="B826" s="2" t="s">
        <v>146</v>
      </c>
      <c r="C826" s="2" t="s">
        <v>40</v>
      </c>
      <c r="D826" s="4">
        <v>46093</v>
      </c>
      <c r="E826" s="2" t="s">
        <v>53</v>
      </c>
      <c r="F826" s="2" t="s">
        <v>59</v>
      </c>
      <c r="G826" s="2" t="s">
        <v>147</v>
      </c>
      <c r="H826" s="2" t="s">
        <v>47</v>
      </c>
      <c r="I826" s="2">
        <v>5</v>
      </c>
      <c r="J826" s="5">
        <v>2188002</v>
      </c>
      <c r="K826" s="5">
        <v>0</v>
      </c>
      <c r="L826" s="2" t="s">
        <v>35</v>
      </c>
      <c r="M826" s="2" t="s">
        <v>36</v>
      </c>
      <c r="N826" s="2" t="s">
        <v>61</v>
      </c>
    </row>
    <row r="827" spans="1:14" x14ac:dyDescent="0.25">
      <c r="A827" s="2" t="s">
        <v>521</v>
      </c>
      <c r="B827" s="2" t="s">
        <v>392</v>
      </c>
      <c r="C827" s="2" t="s">
        <v>393</v>
      </c>
      <c r="D827" s="4">
        <v>46064</v>
      </c>
      <c r="E827" s="2" t="s">
        <v>53</v>
      </c>
      <c r="F827" s="2" t="s">
        <v>159</v>
      </c>
      <c r="G827" s="2" t="s">
        <v>85</v>
      </c>
      <c r="H827" s="2" t="s">
        <v>54</v>
      </c>
      <c r="I827" s="2">
        <v>5</v>
      </c>
      <c r="J827" s="5">
        <v>835502</v>
      </c>
      <c r="K827" s="5">
        <v>0</v>
      </c>
      <c r="L827" s="2" t="s">
        <v>35</v>
      </c>
      <c r="M827" s="2" t="s">
        <v>67</v>
      </c>
      <c r="N827" s="2" t="s">
        <v>61</v>
      </c>
    </row>
    <row r="828" spans="1:14" x14ac:dyDescent="0.25">
      <c r="A828" s="2" t="s">
        <v>797</v>
      </c>
      <c r="B828" s="2" t="s">
        <v>29</v>
      </c>
      <c r="C828" s="2" t="s">
        <v>30</v>
      </c>
      <c r="D828" s="4">
        <v>46163</v>
      </c>
      <c r="E828" s="2" t="s">
        <v>41</v>
      </c>
      <c r="F828" s="2" t="s">
        <v>32</v>
      </c>
      <c r="G828" s="2" t="s">
        <v>81</v>
      </c>
      <c r="H828" s="2" t="s">
        <v>47</v>
      </c>
      <c r="I828" s="2">
        <v>4</v>
      </c>
      <c r="J828" s="5">
        <v>472601</v>
      </c>
      <c r="K828" s="5">
        <v>25000</v>
      </c>
      <c r="L828" s="2" t="s">
        <v>35</v>
      </c>
      <c r="M828" s="2" t="s">
        <v>36</v>
      </c>
      <c r="N828" s="2" t="s">
        <v>37</v>
      </c>
    </row>
    <row r="829" spans="1:14" x14ac:dyDescent="0.25">
      <c r="A829" s="2" t="s">
        <v>1006</v>
      </c>
      <c r="B829" s="2" t="s">
        <v>210</v>
      </c>
      <c r="C829" s="2" t="s">
        <v>45</v>
      </c>
      <c r="D829" s="4">
        <v>46134</v>
      </c>
      <c r="E829" s="2" t="s">
        <v>41</v>
      </c>
      <c r="F829" s="2" t="s">
        <v>42</v>
      </c>
      <c r="G829" s="2" t="s">
        <v>75</v>
      </c>
      <c r="H829" s="2" t="s">
        <v>66</v>
      </c>
      <c r="I829" s="2">
        <v>3</v>
      </c>
      <c r="J829" s="5">
        <v>1272539</v>
      </c>
      <c r="K829" s="5">
        <v>15000</v>
      </c>
      <c r="L829" s="2" t="s">
        <v>35</v>
      </c>
      <c r="M829" s="2" t="s">
        <v>67</v>
      </c>
      <c r="N829" s="2" t="s">
        <v>37</v>
      </c>
    </row>
    <row r="830" spans="1:14" x14ac:dyDescent="0.25">
      <c r="A830" s="2" t="s">
        <v>1195</v>
      </c>
      <c r="B830" s="2" t="s">
        <v>235</v>
      </c>
      <c r="C830" s="2" t="s">
        <v>190</v>
      </c>
      <c r="D830" s="4">
        <v>46196</v>
      </c>
      <c r="E830" s="2" t="s">
        <v>31</v>
      </c>
      <c r="F830" s="2" t="s">
        <v>32</v>
      </c>
      <c r="G830" s="2" t="s">
        <v>85</v>
      </c>
      <c r="H830" s="2" t="s">
        <v>76</v>
      </c>
      <c r="I830" s="2">
        <v>2</v>
      </c>
      <c r="J830" s="5">
        <v>376969</v>
      </c>
      <c r="K830" s="5">
        <v>35000</v>
      </c>
      <c r="L830" s="2" t="s">
        <v>35</v>
      </c>
      <c r="M830" s="2" t="s">
        <v>67</v>
      </c>
      <c r="N830" s="2" t="s">
        <v>61</v>
      </c>
    </row>
  </sheetData>
  <mergeCells count="2">
    <mergeCell ref="A2:H2"/>
    <mergeCell ref="A1:H1"/>
  </mergeCells>
  <conditionalFormatting sqref="A1:A1048576">
    <cfRule type="duplicateValues" dxfId="1" priority="1"/>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FEFBB-A871-49AC-97D5-4574CE15FED6}">
  <dimension ref="A1:O826"/>
  <sheetViews>
    <sheetView zoomScale="87" workbookViewId="0">
      <selection activeCell="F9" sqref="F9"/>
    </sheetView>
  </sheetViews>
  <sheetFormatPr defaultRowHeight="15" x14ac:dyDescent="0.25"/>
  <cols>
    <col min="1" max="1" width="16.5703125" bestFit="1" customWidth="1"/>
    <col min="2" max="2" width="14.7109375" bestFit="1" customWidth="1"/>
    <col min="3" max="3" width="18.28515625" bestFit="1" customWidth="1"/>
    <col min="4" max="4" width="13.7109375" style="6" bestFit="1" customWidth="1"/>
    <col min="5" max="5" width="10.5703125" bestFit="1" customWidth="1"/>
    <col min="6" max="6" width="20.7109375" bestFit="1" customWidth="1"/>
    <col min="7" max="7" width="21.28515625" bestFit="1" customWidth="1"/>
    <col min="8" max="8" width="19" bestFit="1" customWidth="1"/>
    <col min="9" max="9" width="18.42578125" bestFit="1" customWidth="1"/>
    <col min="10" max="10" width="16.7109375" style="7" bestFit="1" customWidth="1"/>
    <col min="11" max="11" width="15.28515625" style="7" bestFit="1" customWidth="1"/>
    <col min="12" max="12" width="17.5703125" bestFit="1" customWidth="1"/>
    <col min="13" max="14" width="14.5703125" bestFit="1" customWidth="1"/>
    <col min="15" max="15" width="40.7109375" customWidth="1"/>
  </cols>
  <sheetData>
    <row r="1" spans="1:15" x14ac:dyDescent="0.25">
      <c r="A1" t="s">
        <v>14</v>
      </c>
      <c r="B1" t="s">
        <v>15</v>
      </c>
      <c r="C1" t="s">
        <v>16</v>
      </c>
      <c r="D1" s="6" t="s">
        <v>17</v>
      </c>
      <c r="E1" t="s">
        <v>18</v>
      </c>
      <c r="F1" t="s">
        <v>19</v>
      </c>
      <c r="G1" t="s">
        <v>20</v>
      </c>
      <c r="H1" t="s">
        <v>21</v>
      </c>
      <c r="I1" t="s">
        <v>22</v>
      </c>
      <c r="J1" s="7" t="s">
        <v>23</v>
      </c>
      <c r="K1" s="7" t="s">
        <v>24</v>
      </c>
      <c r="L1" t="s">
        <v>25</v>
      </c>
      <c r="M1" t="s">
        <v>26</v>
      </c>
      <c r="N1" t="s">
        <v>27</v>
      </c>
      <c r="O1" t="s">
        <v>1373</v>
      </c>
    </row>
    <row r="2" spans="1:15" hidden="1" x14ac:dyDescent="0.25">
      <c r="A2" t="s">
        <v>28</v>
      </c>
      <c r="B2" t="s">
        <v>29</v>
      </c>
      <c r="C2" t="s">
        <v>30</v>
      </c>
      <c r="D2" s="6">
        <v>46179</v>
      </c>
      <c r="E2" t="s">
        <v>31</v>
      </c>
      <c r="F2" t="s">
        <v>32</v>
      </c>
      <c r="G2" t="s">
        <v>33</v>
      </c>
      <c r="H2" t="s">
        <v>34</v>
      </c>
      <c r="I2">
        <v>4</v>
      </c>
      <c r="J2" s="11">
        <v>2028370</v>
      </c>
      <c r="K2" s="11">
        <v>15000</v>
      </c>
      <c r="L2" t="s">
        <v>35</v>
      </c>
      <c r="M2" t="s">
        <v>36</v>
      </c>
      <c r="N2" t="s">
        <v>37</v>
      </c>
    </row>
    <row r="3" spans="1:15" hidden="1" x14ac:dyDescent="0.25">
      <c r="A3" t="s">
        <v>38</v>
      </c>
      <c r="B3" t="s">
        <v>39</v>
      </c>
      <c r="C3" t="s">
        <v>40</v>
      </c>
      <c r="D3" s="6">
        <v>46031</v>
      </c>
      <c r="E3" t="s">
        <v>41</v>
      </c>
      <c r="F3" t="s">
        <v>42</v>
      </c>
      <c r="G3" t="s">
        <v>33</v>
      </c>
      <c r="H3" t="s">
        <v>34</v>
      </c>
      <c r="I3">
        <v>2</v>
      </c>
      <c r="J3" s="11">
        <v>370197</v>
      </c>
      <c r="K3" s="11">
        <v>25000</v>
      </c>
      <c r="L3" t="s">
        <v>35</v>
      </c>
      <c r="M3" t="s">
        <v>36</v>
      </c>
      <c r="N3" t="s">
        <v>37</v>
      </c>
    </row>
    <row r="4" spans="1:15" hidden="1" x14ac:dyDescent="0.25">
      <c r="A4" t="s">
        <v>43</v>
      </c>
      <c r="B4" t="s">
        <v>44</v>
      </c>
      <c r="C4" t="s">
        <v>45</v>
      </c>
      <c r="D4" s="6">
        <v>46063</v>
      </c>
      <c r="E4" t="s">
        <v>41</v>
      </c>
      <c r="F4" t="s">
        <v>42</v>
      </c>
      <c r="G4" t="s">
        <v>46</v>
      </c>
      <c r="H4" t="s">
        <v>47</v>
      </c>
      <c r="I4">
        <v>5</v>
      </c>
      <c r="J4" s="11">
        <v>832761</v>
      </c>
      <c r="K4" s="11">
        <v>50000</v>
      </c>
      <c r="L4" t="s">
        <v>48</v>
      </c>
      <c r="M4" t="s">
        <v>49</v>
      </c>
      <c r="N4" t="s">
        <v>37</v>
      </c>
    </row>
    <row r="5" spans="1:15" hidden="1" x14ac:dyDescent="0.25">
      <c r="A5" t="s">
        <v>50</v>
      </c>
      <c r="B5" t="s">
        <v>51</v>
      </c>
      <c r="C5" t="s">
        <v>52</v>
      </c>
      <c r="D5" s="6">
        <v>46026</v>
      </c>
      <c r="E5" t="s">
        <v>53</v>
      </c>
      <c r="F5" t="s">
        <v>42</v>
      </c>
      <c r="G5" t="s">
        <v>46</v>
      </c>
      <c r="H5" t="s">
        <v>54</v>
      </c>
      <c r="I5">
        <v>2</v>
      </c>
      <c r="J5" s="11">
        <v>1915625</v>
      </c>
      <c r="K5" s="11">
        <v>15000</v>
      </c>
      <c r="L5" t="s">
        <v>35</v>
      </c>
      <c r="M5" t="s">
        <v>36</v>
      </c>
      <c r="N5" t="s">
        <v>37</v>
      </c>
    </row>
    <row r="6" spans="1:15" x14ac:dyDescent="0.25">
      <c r="A6" t="s">
        <v>55</v>
      </c>
      <c r="B6" t="s">
        <v>56</v>
      </c>
      <c r="C6" t="s">
        <v>57</v>
      </c>
      <c r="D6" s="6">
        <v>46033</v>
      </c>
      <c r="E6" t="s">
        <v>58</v>
      </c>
      <c r="F6" t="s">
        <v>59</v>
      </c>
      <c r="G6" t="s">
        <v>60</v>
      </c>
      <c r="H6" t="s">
        <v>34</v>
      </c>
      <c r="I6">
        <v>1</v>
      </c>
      <c r="J6" s="11">
        <v>2094060</v>
      </c>
      <c r="K6" s="11">
        <v>50000</v>
      </c>
      <c r="L6" t="s">
        <v>35</v>
      </c>
      <c r="M6" t="s">
        <v>36</v>
      </c>
      <c r="N6" t="s">
        <v>61</v>
      </c>
    </row>
    <row r="7" spans="1:15" x14ac:dyDescent="0.25">
      <c r="A7" t="s">
        <v>62</v>
      </c>
      <c r="B7" t="s">
        <v>63</v>
      </c>
      <c r="C7" t="s">
        <v>64</v>
      </c>
      <c r="D7" s="6">
        <v>46026</v>
      </c>
      <c r="E7" t="s">
        <v>58</v>
      </c>
      <c r="F7" t="s">
        <v>65</v>
      </c>
      <c r="G7" t="s">
        <v>60</v>
      </c>
      <c r="H7" t="s">
        <v>66</v>
      </c>
      <c r="I7">
        <v>2</v>
      </c>
      <c r="J7" s="11">
        <v>1825479</v>
      </c>
      <c r="K7" s="11">
        <v>15000</v>
      </c>
      <c r="L7" t="s">
        <v>35</v>
      </c>
      <c r="M7" t="s">
        <v>67</v>
      </c>
      <c r="N7" t="s">
        <v>61</v>
      </c>
    </row>
    <row r="8" spans="1:15" x14ac:dyDescent="0.25">
      <c r="A8" t="s">
        <v>68</v>
      </c>
      <c r="B8" t="s">
        <v>69</v>
      </c>
      <c r="C8" t="s">
        <v>70</v>
      </c>
      <c r="D8" s="6">
        <v>46140</v>
      </c>
      <c r="E8" t="s">
        <v>41</v>
      </c>
      <c r="F8" t="s">
        <v>42</v>
      </c>
      <c r="G8" t="s">
        <v>33</v>
      </c>
      <c r="H8" t="s">
        <v>47</v>
      </c>
      <c r="I8">
        <v>4</v>
      </c>
      <c r="J8" s="11">
        <v>222397</v>
      </c>
      <c r="K8" s="11">
        <v>35000</v>
      </c>
      <c r="L8" t="s">
        <v>35</v>
      </c>
      <c r="M8" t="s">
        <v>71</v>
      </c>
      <c r="N8" t="s">
        <v>61</v>
      </c>
    </row>
    <row r="9" spans="1:15" x14ac:dyDescent="0.25">
      <c r="A9" t="s">
        <v>72</v>
      </c>
      <c r="B9" t="s">
        <v>73</v>
      </c>
      <c r="C9" t="s">
        <v>74</v>
      </c>
      <c r="D9" s="6">
        <v>46183</v>
      </c>
      <c r="E9" t="s">
        <v>41</v>
      </c>
      <c r="F9" t="s">
        <v>32</v>
      </c>
      <c r="G9" t="s">
        <v>75</v>
      </c>
      <c r="H9" t="s">
        <v>76</v>
      </c>
      <c r="I9">
        <v>6</v>
      </c>
      <c r="J9" s="11">
        <v>416531</v>
      </c>
      <c r="K9" s="11">
        <v>35000</v>
      </c>
      <c r="L9" t="s">
        <v>35</v>
      </c>
      <c r="M9" t="s">
        <v>67</v>
      </c>
      <c r="N9" t="s">
        <v>61</v>
      </c>
    </row>
    <row r="10" spans="1:15" hidden="1" x14ac:dyDescent="0.25">
      <c r="A10" t="s">
        <v>77</v>
      </c>
      <c r="B10" t="s">
        <v>78</v>
      </c>
      <c r="C10" t="s">
        <v>79</v>
      </c>
      <c r="D10" s="6">
        <v>46198</v>
      </c>
      <c r="E10" t="s">
        <v>80</v>
      </c>
      <c r="F10" t="s">
        <v>65</v>
      </c>
      <c r="G10" t="s">
        <v>81</v>
      </c>
      <c r="H10" t="s">
        <v>47</v>
      </c>
      <c r="I10">
        <v>3</v>
      </c>
      <c r="J10" s="11">
        <v>459566</v>
      </c>
      <c r="K10" s="11">
        <v>50000</v>
      </c>
      <c r="L10" t="s">
        <v>35</v>
      </c>
      <c r="M10" t="s">
        <v>67</v>
      </c>
      <c r="N10" t="s">
        <v>37</v>
      </c>
    </row>
    <row r="11" spans="1:15" x14ac:dyDescent="0.25">
      <c r="A11" t="s">
        <v>82</v>
      </c>
      <c r="B11" t="s">
        <v>83</v>
      </c>
      <c r="C11" t="s">
        <v>84</v>
      </c>
      <c r="D11" s="6">
        <v>46181</v>
      </c>
      <c r="E11" t="s">
        <v>58</v>
      </c>
      <c r="F11" t="s">
        <v>42</v>
      </c>
      <c r="G11" t="s">
        <v>85</v>
      </c>
      <c r="H11" t="s">
        <v>66</v>
      </c>
      <c r="I11">
        <v>3</v>
      </c>
      <c r="J11" s="11">
        <v>291439</v>
      </c>
      <c r="K11" s="11">
        <v>25000</v>
      </c>
      <c r="L11" t="s">
        <v>35</v>
      </c>
      <c r="M11" t="s">
        <v>36</v>
      </c>
      <c r="N11" t="s">
        <v>61</v>
      </c>
    </row>
    <row r="12" spans="1:15" hidden="1" x14ac:dyDescent="0.25">
      <c r="A12" t="s">
        <v>86</v>
      </c>
      <c r="B12" t="s">
        <v>87</v>
      </c>
      <c r="C12" t="s">
        <v>88</v>
      </c>
      <c r="D12" s="6">
        <v>46052</v>
      </c>
      <c r="E12" t="s">
        <v>31</v>
      </c>
      <c r="F12" t="s">
        <v>32</v>
      </c>
      <c r="G12" t="s">
        <v>33</v>
      </c>
      <c r="H12" t="s">
        <v>66</v>
      </c>
      <c r="I12">
        <v>7</v>
      </c>
      <c r="J12" s="11">
        <v>2126947</v>
      </c>
      <c r="K12" s="11">
        <v>50000</v>
      </c>
      <c r="L12" t="s">
        <v>89</v>
      </c>
      <c r="M12" t="s">
        <v>49</v>
      </c>
      <c r="N12" t="s">
        <v>37</v>
      </c>
    </row>
    <row r="13" spans="1:15" hidden="1" x14ac:dyDescent="0.25">
      <c r="A13" t="s">
        <v>90</v>
      </c>
      <c r="B13" t="s">
        <v>91</v>
      </c>
      <c r="C13" t="s">
        <v>92</v>
      </c>
      <c r="D13" s="6">
        <v>46036</v>
      </c>
      <c r="E13" t="s">
        <v>58</v>
      </c>
      <c r="F13" t="s">
        <v>59</v>
      </c>
      <c r="G13" t="s">
        <v>75</v>
      </c>
      <c r="H13" t="s">
        <v>76</v>
      </c>
      <c r="I13">
        <v>3</v>
      </c>
      <c r="J13" s="11">
        <v>385789</v>
      </c>
      <c r="K13" s="11">
        <v>25000</v>
      </c>
      <c r="L13" t="s">
        <v>35</v>
      </c>
      <c r="M13" t="s">
        <v>36</v>
      </c>
      <c r="N13" t="s">
        <v>37</v>
      </c>
    </row>
    <row r="14" spans="1:15" x14ac:dyDescent="0.25">
      <c r="A14" t="s">
        <v>93</v>
      </c>
      <c r="B14" t="s">
        <v>94</v>
      </c>
      <c r="C14" t="s">
        <v>70</v>
      </c>
      <c r="D14" s="6">
        <v>46181</v>
      </c>
      <c r="E14" t="s">
        <v>31</v>
      </c>
      <c r="F14" t="s">
        <v>32</v>
      </c>
      <c r="G14" t="s">
        <v>81</v>
      </c>
      <c r="H14" t="s">
        <v>54</v>
      </c>
      <c r="I14">
        <v>2</v>
      </c>
      <c r="J14" s="11">
        <v>1664115</v>
      </c>
      <c r="K14" s="11">
        <v>0</v>
      </c>
      <c r="L14" t="s">
        <v>48</v>
      </c>
      <c r="M14" t="s">
        <v>36</v>
      </c>
      <c r="N14" t="s">
        <v>61</v>
      </c>
      <c r="O14" t="s">
        <v>1377</v>
      </c>
    </row>
    <row r="15" spans="1:15" x14ac:dyDescent="0.25">
      <c r="A15" t="s">
        <v>95</v>
      </c>
      <c r="B15" t="s">
        <v>91</v>
      </c>
      <c r="C15" t="s">
        <v>92</v>
      </c>
      <c r="D15" s="6">
        <v>46051</v>
      </c>
      <c r="E15" t="s">
        <v>80</v>
      </c>
      <c r="F15" t="s">
        <v>59</v>
      </c>
      <c r="G15" t="s">
        <v>75</v>
      </c>
      <c r="H15" t="s">
        <v>76</v>
      </c>
      <c r="I15">
        <v>2</v>
      </c>
      <c r="J15" s="11">
        <v>740564</v>
      </c>
      <c r="K15" s="11">
        <v>35000</v>
      </c>
      <c r="L15" t="s">
        <v>48</v>
      </c>
      <c r="M15" t="s">
        <v>71</v>
      </c>
      <c r="N15" t="s">
        <v>61</v>
      </c>
    </row>
    <row r="16" spans="1:15" hidden="1" x14ac:dyDescent="0.25">
      <c r="A16" t="s">
        <v>96</v>
      </c>
      <c r="B16" t="s">
        <v>97</v>
      </c>
      <c r="C16" t="s">
        <v>98</v>
      </c>
      <c r="D16" s="6">
        <v>46111</v>
      </c>
      <c r="E16" t="s">
        <v>58</v>
      </c>
      <c r="F16" t="s">
        <v>65</v>
      </c>
      <c r="G16" t="s">
        <v>85</v>
      </c>
      <c r="H16" t="s">
        <v>76</v>
      </c>
      <c r="I16">
        <v>6</v>
      </c>
      <c r="J16" s="11">
        <v>1882152</v>
      </c>
      <c r="K16" s="11">
        <v>35000</v>
      </c>
      <c r="L16" t="s">
        <v>35</v>
      </c>
      <c r="M16" t="s">
        <v>67</v>
      </c>
      <c r="N16" t="s">
        <v>37</v>
      </c>
    </row>
    <row r="17" spans="1:15" x14ac:dyDescent="0.25">
      <c r="A17" t="s">
        <v>99</v>
      </c>
      <c r="B17" t="s">
        <v>100</v>
      </c>
      <c r="C17" t="s">
        <v>101</v>
      </c>
      <c r="D17" s="6">
        <v>46171</v>
      </c>
      <c r="E17" t="s">
        <v>53</v>
      </c>
      <c r="F17" t="s">
        <v>59</v>
      </c>
      <c r="G17" t="s">
        <v>60</v>
      </c>
      <c r="H17" t="s">
        <v>66</v>
      </c>
      <c r="I17">
        <v>4</v>
      </c>
      <c r="J17" s="11">
        <v>1557775</v>
      </c>
      <c r="K17" s="11">
        <v>25000</v>
      </c>
      <c r="L17" t="s">
        <v>35</v>
      </c>
      <c r="M17" t="s">
        <v>36</v>
      </c>
      <c r="N17" t="s">
        <v>61</v>
      </c>
    </row>
    <row r="18" spans="1:15" hidden="1" x14ac:dyDescent="0.25">
      <c r="A18" t="s">
        <v>102</v>
      </c>
      <c r="B18" t="s">
        <v>103</v>
      </c>
      <c r="C18" t="s">
        <v>104</v>
      </c>
      <c r="D18" s="6">
        <v>46101</v>
      </c>
      <c r="E18" t="s">
        <v>58</v>
      </c>
      <c r="F18" t="s">
        <v>42</v>
      </c>
      <c r="G18" t="s">
        <v>33</v>
      </c>
      <c r="H18" t="s">
        <v>66</v>
      </c>
      <c r="I18">
        <v>2</v>
      </c>
      <c r="J18" s="11">
        <v>840317</v>
      </c>
      <c r="K18" s="11">
        <v>25000</v>
      </c>
      <c r="L18" t="s">
        <v>35</v>
      </c>
      <c r="M18" t="s">
        <v>49</v>
      </c>
      <c r="N18" t="s">
        <v>37</v>
      </c>
    </row>
    <row r="19" spans="1:15" x14ac:dyDescent="0.25">
      <c r="A19" t="s">
        <v>105</v>
      </c>
      <c r="B19" t="s">
        <v>106</v>
      </c>
      <c r="C19" t="s">
        <v>107</v>
      </c>
      <c r="D19" s="6">
        <v>46181</v>
      </c>
      <c r="E19" t="s">
        <v>31</v>
      </c>
      <c r="F19" t="s">
        <v>42</v>
      </c>
      <c r="G19" t="s">
        <v>85</v>
      </c>
      <c r="H19" t="s">
        <v>54</v>
      </c>
      <c r="I19">
        <v>3</v>
      </c>
      <c r="J19" s="11">
        <v>794401</v>
      </c>
      <c r="K19" s="11">
        <v>50000</v>
      </c>
      <c r="L19" t="s">
        <v>35</v>
      </c>
      <c r="M19" t="s">
        <v>67</v>
      </c>
      <c r="N19" t="s">
        <v>61</v>
      </c>
    </row>
    <row r="20" spans="1:15" hidden="1" x14ac:dyDescent="0.25">
      <c r="A20" t="s">
        <v>109</v>
      </c>
      <c r="B20" t="s">
        <v>110</v>
      </c>
      <c r="C20" t="s">
        <v>111</v>
      </c>
      <c r="D20" s="6">
        <v>46170</v>
      </c>
      <c r="E20" t="s">
        <v>58</v>
      </c>
      <c r="F20" t="s">
        <v>32</v>
      </c>
      <c r="G20" t="s">
        <v>33</v>
      </c>
      <c r="H20" t="s">
        <v>34</v>
      </c>
      <c r="I20">
        <v>3</v>
      </c>
      <c r="J20" s="11">
        <v>650468</v>
      </c>
      <c r="K20" s="11">
        <v>35000</v>
      </c>
      <c r="L20" t="s">
        <v>35</v>
      </c>
      <c r="M20" t="s">
        <v>67</v>
      </c>
      <c r="N20" t="s">
        <v>37</v>
      </c>
    </row>
    <row r="21" spans="1:15" x14ac:dyDescent="0.25">
      <c r="A21" t="s">
        <v>112</v>
      </c>
      <c r="B21" t="s">
        <v>113</v>
      </c>
      <c r="C21" t="s">
        <v>114</v>
      </c>
      <c r="D21" s="6">
        <v>46161</v>
      </c>
      <c r="E21" t="s">
        <v>41</v>
      </c>
      <c r="F21" t="s">
        <v>42</v>
      </c>
      <c r="G21" t="s">
        <v>60</v>
      </c>
      <c r="H21" t="s">
        <v>66</v>
      </c>
      <c r="I21">
        <v>3</v>
      </c>
      <c r="J21" s="11">
        <v>801983</v>
      </c>
      <c r="K21" s="11">
        <v>50000</v>
      </c>
      <c r="L21" t="s">
        <v>35</v>
      </c>
      <c r="M21" t="s">
        <v>67</v>
      </c>
      <c r="N21" t="s">
        <v>61</v>
      </c>
    </row>
    <row r="22" spans="1:15" hidden="1" x14ac:dyDescent="0.25">
      <c r="A22" t="s">
        <v>115</v>
      </c>
      <c r="B22" t="s">
        <v>116</v>
      </c>
      <c r="C22" t="s">
        <v>74</v>
      </c>
      <c r="D22" s="6">
        <v>46162</v>
      </c>
      <c r="E22" t="s">
        <v>80</v>
      </c>
      <c r="F22" t="s">
        <v>42</v>
      </c>
      <c r="G22" t="s">
        <v>46</v>
      </c>
      <c r="H22" t="s">
        <v>47</v>
      </c>
      <c r="I22">
        <v>6</v>
      </c>
      <c r="J22" s="11">
        <v>2248227</v>
      </c>
      <c r="K22" s="11">
        <v>25000</v>
      </c>
      <c r="L22" t="s">
        <v>35</v>
      </c>
      <c r="M22" t="s">
        <v>36</v>
      </c>
      <c r="N22" t="s">
        <v>37</v>
      </c>
    </row>
    <row r="23" spans="1:15" hidden="1" x14ac:dyDescent="0.25">
      <c r="A23" t="s">
        <v>117</v>
      </c>
      <c r="B23" t="s">
        <v>118</v>
      </c>
      <c r="C23" t="s">
        <v>119</v>
      </c>
      <c r="D23" s="6">
        <v>46051</v>
      </c>
      <c r="E23" t="s">
        <v>58</v>
      </c>
      <c r="F23" t="s">
        <v>59</v>
      </c>
      <c r="G23" t="s">
        <v>46</v>
      </c>
      <c r="H23" t="s">
        <v>34</v>
      </c>
      <c r="I23">
        <v>2</v>
      </c>
      <c r="J23" s="11">
        <v>2128992</v>
      </c>
      <c r="K23" s="11">
        <v>0</v>
      </c>
      <c r="L23" t="s">
        <v>35</v>
      </c>
      <c r="M23" t="s">
        <v>67</v>
      </c>
      <c r="N23" t="s">
        <v>37</v>
      </c>
      <c r="O23" t="s">
        <v>1377</v>
      </c>
    </row>
    <row r="24" spans="1:15" x14ac:dyDescent="0.25">
      <c r="A24" t="s">
        <v>120</v>
      </c>
      <c r="B24" t="s">
        <v>121</v>
      </c>
      <c r="C24" t="s">
        <v>122</v>
      </c>
      <c r="D24" s="6">
        <v>46046</v>
      </c>
      <c r="E24" t="s">
        <v>31</v>
      </c>
      <c r="F24" t="s">
        <v>32</v>
      </c>
      <c r="G24" t="s">
        <v>85</v>
      </c>
      <c r="H24" t="s">
        <v>54</v>
      </c>
      <c r="I24">
        <v>5</v>
      </c>
      <c r="J24" s="11">
        <v>1488880</v>
      </c>
      <c r="K24" s="11">
        <v>0</v>
      </c>
      <c r="L24" t="s">
        <v>35</v>
      </c>
      <c r="M24" t="s">
        <v>36</v>
      </c>
      <c r="N24" t="s">
        <v>61</v>
      </c>
      <c r="O24" t="s">
        <v>1377</v>
      </c>
    </row>
    <row r="25" spans="1:15" hidden="1" x14ac:dyDescent="0.25">
      <c r="A25" t="s">
        <v>124</v>
      </c>
      <c r="B25" t="s">
        <v>125</v>
      </c>
      <c r="C25" t="s">
        <v>126</v>
      </c>
      <c r="D25" s="6">
        <v>46137</v>
      </c>
      <c r="E25" t="s">
        <v>53</v>
      </c>
      <c r="F25" t="s">
        <v>65</v>
      </c>
      <c r="G25" t="s">
        <v>75</v>
      </c>
      <c r="H25" t="s">
        <v>66</v>
      </c>
      <c r="I25">
        <v>4</v>
      </c>
      <c r="J25" s="11">
        <v>486485</v>
      </c>
      <c r="K25" s="11">
        <v>50000</v>
      </c>
      <c r="L25" t="s">
        <v>35</v>
      </c>
      <c r="M25" t="s">
        <v>67</v>
      </c>
      <c r="N25" t="s">
        <v>37</v>
      </c>
    </row>
    <row r="26" spans="1:15" x14ac:dyDescent="0.25">
      <c r="A26" t="s">
        <v>127</v>
      </c>
      <c r="B26" t="s">
        <v>128</v>
      </c>
      <c r="C26" t="s">
        <v>129</v>
      </c>
      <c r="D26" s="6">
        <v>46132</v>
      </c>
      <c r="E26" t="s">
        <v>80</v>
      </c>
      <c r="F26" t="s">
        <v>59</v>
      </c>
      <c r="G26" t="s">
        <v>46</v>
      </c>
      <c r="H26" t="s">
        <v>54</v>
      </c>
      <c r="I26">
        <v>3</v>
      </c>
      <c r="J26" s="11">
        <v>1670340</v>
      </c>
      <c r="K26" s="11">
        <v>35000</v>
      </c>
      <c r="L26" t="s">
        <v>35</v>
      </c>
      <c r="M26" t="s">
        <v>67</v>
      </c>
      <c r="N26" t="s">
        <v>61</v>
      </c>
    </row>
    <row r="27" spans="1:15" x14ac:dyDescent="0.25">
      <c r="A27" t="s">
        <v>131</v>
      </c>
      <c r="B27" t="s">
        <v>132</v>
      </c>
      <c r="C27" t="s">
        <v>133</v>
      </c>
      <c r="D27" s="6">
        <v>46136</v>
      </c>
      <c r="E27" t="s">
        <v>41</v>
      </c>
      <c r="F27" t="s">
        <v>59</v>
      </c>
      <c r="G27" t="s">
        <v>85</v>
      </c>
      <c r="H27" t="s">
        <v>76</v>
      </c>
      <c r="I27">
        <v>3</v>
      </c>
      <c r="J27" s="11">
        <v>1863193</v>
      </c>
      <c r="K27" s="11">
        <v>35000</v>
      </c>
      <c r="L27" t="s">
        <v>35</v>
      </c>
      <c r="M27" t="s">
        <v>36</v>
      </c>
      <c r="N27" t="s">
        <v>61</v>
      </c>
    </row>
    <row r="28" spans="1:15" hidden="1" x14ac:dyDescent="0.25">
      <c r="A28" t="s">
        <v>134</v>
      </c>
      <c r="B28" t="s">
        <v>135</v>
      </c>
      <c r="C28" t="s">
        <v>136</v>
      </c>
      <c r="D28" s="6">
        <v>46076</v>
      </c>
      <c r="E28" t="s">
        <v>53</v>
      </c>
      <c r="F28" t="s">
        <v>59</v>
      </c>
      <c r="G28" t="s">
        <v>81</v>
      </c>
      <c r="H28" t="s">
        <v>54</v>
      </c>
      <c r="I28">
        <v>7</v>
      </c>
      <c r="J28" s="11">
        <v>1391843</v>
      </c>
      <c r="K28" s="11">
        <v>35000</v>
      </c>
      <c r="L28" t="s">
        <v>35</v>
      </c>
      <c r="M28" t="s">
        <v>67</v>
      </c>
      <c r="N28" t="s">
        <v>37</v>
      </c>
    </row>
    <row r="29" spans="1:15" hidden="1" x14ac:dyDescent="0.25">
      <c r="A29" t="s">
        <v>137</v>
      </c>
      <c r="B29" t="s">
        <v>138</v>
      </c>
      <c r="C29" t="s">
        <v>126</v>
      </c>
      <c r="D29" s="6">
        <v>46092</v>
      </c>
      <c r="E29" t="s">
        <v>31</v>
      </c>
      <c r="F29" t="s">
        <v>42</v>
      </c>
      <c r="G29" t="s">
        <v>85</v>
      </c>
      <c r="H29" t="s">
        <v>47</v>
      </c>
      <c r="I29">
        <v>5</v>
      </c>
      <c r="J29" s="11">
        <v>1858597</v>
      </c>
      <c r="K29" s="11">
        <v>15000</v>
      </c>
      <c r="L29" t="s">
        <v>35</v>
      </c>
      <c r="M29" t="s">
        <v>36</v>
      </c>
      <c r="N29" t="s">
        <v>37</v>
      </c>
    </row>
    <row r="30" spans="1:15" x14ac:dyDescent="0.25">
      <c r="A30" t="s">
        <v>139</v>
      </c>
      <c r="B30" t="s">
        <v>140</v>
      </c>
      <c r="C30" t="s">
        <v>141</v>
      </c>
      <c r="D30" s="6">
        <v>46148</v>
      </c>
      <c r="E30" t="s">
        <v>41</v>
      </c>
      <c r="F30" t="s">
        <v>42</v>
      </c>
      <c r="G30" t="s">
        <v>81</v>
      </c>
      <c r="H30" t="s">
        <v>54</v>
      </c>
      <c r="I30">
        <v>7</v>
      </c>
      <c r="J30" s="11">
        <v>297137</v>
      </c>
      <c r="K30" s="11">
        <v>25000</v>
      </c>
      <c r="L30" t="s">
        <v>35</v>
      </c>
      <c r="M30" t="s">
        <v>36</v>
      </c>
      <c r="N30" t="s">
        <v>61</v>
      </c>
    </row>
    <row r="31" spans="1:15" x14ac:dyDescent="0.25">
      <c r="A31" t="s">
        <v>142</v>
      </c>
      <c r="B31" t="s">
        <v>143</v>
      </c>
      <c r="C31" t="s">
        <v>144</v>
      </c>
      <c r="D31" s="6">
        <v>46099</v>
      </c>
      <c r="E31" t="s">
        <v>31</v>
      </c>
      <c r="F31" t="s">
        <v>59</v>
      </c>
      <c r="G31" t="s">
        <v>75</v>
      </c>
      <c r="H31" t="s">
        <v>34</v>
      </c>
      <c r="I31">
        <v>6</v>
      </c>
      <c r="J31" s="11">
        <v>2101981</v>
      </c>
      <c r="K31" s="11">
        <v>0</v>
      </c>
      <c r="L31" t="s">
        <v>35</v>
      </c>
      <c r="M31" t="s">
        <v>67</v>
      </c>
      <c r="N31" t="s">
        <v>61</v>
      </c>
      <c r="O31" t="s">
        <v>1377</v>
      </c>
    </row>
    <row r="32" spans="1:15" x14ac:dyDescent="0.25">
      <c r="A32" t="s">
        <v>145</v>
      </c>
      <c r="B32" t="s">
        <v>146</v>
      </c>
      <c r="C32" t="s">
        <v>40</v>
      </c>
      <c r="D32" s="6">
        <v>46093</v>
      </c>
      <c r="E32" t="s">
        <v>53</v>
      </c>
      <c r="F32" t="s">
        <v>59</v>
      </c>
      <c r="G32" t="s">
        <v>33</v>
      </c>
      <c r="H32" t="s">
        <v>47</v>
      </c>
      <c r="I32">
        <v>5</v>
      </c>
      <c r="J32" s="11">
        <v>2188002</v>
      </c>
      <c r="K32" s="11">
        <v>0</v>
      </c>
      <c r="L32" t="s">
        <v>35</v>
      </c>
      <c r="M32" t="s">
        <v>36</v>
      </c>
      <c r="N32" t="s">
        <v>61</v>
      </c>
      <c r="O32" t="s">
        <v>1377</v>
      </c>
    </row>
    <row r="33" spans="1:15" x14ac:dyDescent="0.25">
      <c r="A33" t="s">
        <v>148</v>
      </c>
      <c r="B33" t="s">
        <v>149</v>
      </c>
      <c r="C33" t="s">
        <v>114</v>
      </c>
      <c r="D33" s="6">
        <v>46154</v>
      </c>
      <c r="E33" t="s">
        <v>41</v>
      </c>
      <c r="F33" t="s">
        <v>42</v>
      </c>
      <c r="G33" t="s">
        <v>33</v>
      </c>
      <c r="H33" t="s">
        <v>34</v>
      </c>
      <c r="I33">
        <v>2</v>
      </c>
      <c r="J33" s="11">
        <v>193589</v>
      </c>
      <c r="K33" s="11">
        <v>25000</v>
      </c>
      <c r="L33" t="s">
        <v>35</v>
      </c>
      <c r="M33" t="s">
        <v>67</v>
      </c>
      <c r="N33" t="s">
        <v>61</v>
      </c>
    </row>
    <row r="34" spans="1:15" x14ac:dyDescent="0.25">
      <c r="A34" t="s">
        <v>150</v>
      </c>
      <c r="B34" t="s">
        <v>151</v>
      </c>
      <c r="C34" t="s">
        <v>152</v>
      </c>
      <c r="D34" s="6">
        <v>46115</v>
      </c>
      <c r="E34" t="s">
        <v>58</v>
      </c>
      <c r="F34" t="s">
        <v>42</v>
      </c>
      <c r="G34" t="s">
        <v>75</v>
      </c>
      <c r="H34" t="s">
        <v>34</v>
      </c>
      <c r="I34">
        <v>1</v>
      </c>
      <c r="J34" s="11">
        <v>1879569</v>
      </c>
      <c r="K34" s="11">
        <v>25000</v>
      </c>
      <c r="L34" t="s">
        <v>35</v>
      </c>
      <c r="M34" t="s">
        <v>36</v>
      </c>
      <c r="N34" t="s">
        <v>61</v>
      </c>
    </row>
    <row r="35" spans="1:15" x14ac:dyDescent="0.25">
      <c r="A35" t="s">
        <v>153</v>
      </c>
      <c r="B35" t="s">
        <v>154</v>
      </c>
      <c r="C35" t="s">
        <v>84</v>
      </c>
      <c r="D35" s="6">
        <v>46065</v>
      </c>
      <c r="E35" t="s">
        <v>80</v>
      </c>
      <c r="F35" t="s">
        <v>32</v>
      </c>
      <c r="G35" t="s">
        <v>75</v>
      </c>
      <c r="H35" t="s">
        <v>66</v>
      </c>
      <c r="I35">
        <v>7</v>
      </c>
      <c r="J35" s="11">
        <v>2400494</v>
      </c>
      <c r="K35" s="11">
        <v>25000</v>
      </c>
      <c r="L35" t="s">
        <v>35</v>
      </c>
      <c r="M35" t="s">
        <v>71</v>
      </c>
      <c r="N35" t="s">
        <v>61</v>
      </c>
    </row>
    <row r="36" spans="1:15" x14ac:dyDescent="0.25">
      <c r="A36" t="s">
        <v>156</v>
      </c>
      <c r="B36" t="s">
        <v>157</v>
      </c>
      <c r="C36" t="s">
        <v>158</v>
      </c>
      <c r="D36" s="6">
        <v>46171</v>
      </c>
      <c r="E36" t="s">
        <v>41</v>
      </c>
      <c r="F36" t="s">
        <v>59</v>
      </c>
      <c r="G36" t="s">
        <v>33</v>
      </c>
      <c r="H36" t="s">
        <v>34</v>
      </c>
      <c r="I36">
        <v>1</v>
      </c>
      <c r="J36" s="11">
        <v>1594840</v>
      </c>
      <c r="K36" s="11">
        <v>15000</v>
      </c>
      <c r="L36" t="s">
        <v>35</v>
      </c>
      <c r="M36" t="s">
        <v>67</v>
      </c>
      <c r="N36" t="s">
        <v>61</v>
      </c>
    </row>
    <row r="37" spans="1:15" x14ac:dyDescent="0.25">
      <c r="A37" t="s">
        <v>160</v>
      </c>
      <c r="B37" t="s">
        <v>161</v>
      </c>
      <c r="C37" t="s">
        <v>136</v>
      </c>
      <c r="D37" s="6">
        <v>46062</v>
      </c>
      <c r="E37" t="s">
        <v>53</v>
      </c>
      <c r="F37" t="s">
        <v>65</v>
      </c>
      <c r="G37" t="s">
        <v>60</v>
      </c>
      <c r="H37" t="s">
        <v>47</v>
      </c>
      <c r="I37">
        <v>7</v>
      </c>
      <c r="J37" s="11">
        <v>2231340</v>
      </c>
      <c r="K37" s="11">
        <v>15000</v>
      </c>
      <c r="L37" t="s">
        <v>35</v>
      </c>
      <c r="M37" t="s">
        <v>71</v>
      </c>
      <c r="N37" t="s">
        <v>61</v>
      </c>
    </row>
    <row r="38" spans="1:15" x14ac:dyDescent="0.25">
      <c r="A38" t="s">
        <v>163</v>
      </c>
      <c r="B38" t="s">
        <v>164</v>
      </c>
      <c r="C38" t="s">
        <v>165</v>
      </c>
      <c r="D38" s="6">
        <v>46056</v>
      </c>
      <c r="E38" t="s">
        <v>41</v>
      </c>
      <c r="F38" t="s">
        <v>32</v>
      </c>
      <c r="G38" t="s">
        <v>85</v>
      </c>
      <c r="H38" t="s">
        <v>66</v>
      </c>
      <c r="I38">
        <v>3</v>
      </c>
      <c r="J38" s="11">
        <v>192894</v>
      </c>
      <c r="K38" s="11">
        <v>35000</v>
      </c>
      <c r="L38" t="s">
        <v>35</v>
      </c>
      <c r="M38" t="s">
        <v>36</v>
      </c>
      <c r="N38" t="s">
        <v>61</v>
      </c>
    </row>
    <row r="39" spans="1:15" x14ac:dyDescent="0.25">
      <c r="A39" t="s">
        <v>166</v>
      </c>
      <c r="B39" t="s">
        <v>167</v>
      </c>
      <c r="C39" t="s">
        <v>84</v>
      </c>
      <c r="D39" s="6">
        <v>46053</v>
      </c>
      <c r="E39" t="s">
        <v>80</v>
      </c>
      <c r="F39" t="s">
        <v>42</v>
      </c>
      <c r="G39" t="s">
        <v>85</v>
      </c>
      <c r="H39" t="s">
        <v>34</v>
      </c>
      <c r="I39">
        <v>7</v>
      </c>
      <c r="J39" s="11">
        <v>1052636</v>
      </c>
      <c r="K39" s="11">
        <v>15000</v>
      </c>
      <c r="L39" t="s">
        <v>35</v>
      </c>
      <c r="M39" t="s">
        <v>36</v>
      </c>
      <c r="N39" t="s">
        <v>61</v>
      </c>
    </row>
    <row r="40" spans="1:15" x14ac:dyDescent="0.25">
      <c r="A40" t="s">
        <v>168</v>
      </c>
      <c r="B40" t="s">
        <v>169</v>
      </c>
      <c r="C40" t="s">
        <v>170</v>
      </c>
      <c r="D40" s="6">
        <v>46199</v>
      </c>
      <c r="E40" t="s">
        <v>58</v>
      </c>
      <c r="F40" t="s">
        <v>42</v>
      </c>
      <c r="G40" t="s">
        <v>81</v>
      </c>
      <c r="H40" t="s">
        <v>54</v>
      </c>
      <c r="I40">
        <v>1</v>
      </c>
      <c r="J40" s="11">
        <v>588596</v>
      </c>
      <c r="K40" s="11">
        <v>0</v>
      </c>
      <c r="L40" t="s">
        <v>35</v>
      </c>
      <c r="M40" t="s">
        <v>36</v>
      </c>
      <c r="N40" t="s">
        <v>61</v>
      </c>
      <c r="O40" t="s">
        <v>1377</v>
      </c>
    </row>
    <row r="41" spans="1:15" x14ac:dyDescent="0.25">
      <c r="A41" t="s">
        <v>171</v>
      </c>
      <c r="B41" t="s">
        <v>172</v>
      </c>
      <c r="C41" t="s">
        <v>173</v>
      </c>
      <c r="D41" s="6">
        <v>46053</v>
      </c>
      <c r="E41" t="s">
        <v>58</v>
      </c>
      <c r="F41" t="s">
        <v>65</v>
      </c>
      <c r="G41" t="s">
        <v>46</v>
      </c>
      <c r="H41" t="s">
        <v>34</v>
      </c>
      <c r="I41">
        <v>1</v>
      </c>
      <c r="J41" s="11">
        <v>1181211</v>
      </c>
      <c r="K41" s="11">
        <v>0</v>
      </c>
      <c r="L41" t="s">
        <v>35</v>
      </c>
      <c r="M41" t="s">
        <v>67</v>
      </c>
      <c r="N41" t="s">
        <v>61</v>
      </c>
      <c r="O41" t="s">
        <v>1377</v>
      </c>
    </row>
    <row r="42" spans="1:15" x14ac:dyDescent="0.25">
      <c r="A42" t="s">
        <v>174</v>
      </c>
      <c r="B42" t="s">
        <v>175</v>
      </c>
      <c r="C42" t="s">
        <v>176</v>
      </c>
      <c r="D42" s="6">
        <v>46194</v>
      </c>
      <c r="E42" t="s">
        <v>80</v>
      </c>
      <c r="F42" t="s">
        <v>32</v>
      </c>
      <c r="G42" t="s">
        <v>33</v>
      </c>
      <c r="H42" t="s">
        <v>34</v>
      </c>
      <c r="I42">
        <v>1</v>
      </c>
      <c r="J42" s="11">
        <v>1594439</v>
      </c>
      <c r="K42" s="11">
        <v>0</v>
      </c>
      <c r="L42" t="s">
        <v>35</v>
      </c>
      <c r="M42" t="s">
        <v>36</v>
      </c>
      <c r="N42" t="s">
        <v>61</v>
      </c>
      <c r="O42" t="s">
        <v>1377</v>
      </c>
    </row>
    <row r="43" spans="1:15" x14ac:dyDescent="0.25">
      <c r="A43" t="s">
        <v>178</v>
      </c>
      <c r="B43" t="s">
        <v>179</v>
      </c>
      <c r="C43" t="s">
        <v>180</v>
      </c>
      <c r="D43" s="6">
        <v>46168</v>
      </c>
      <c r="E43" t="s">
        <v>31</v>
      </c>
      <c r="F43" t="s">
        <v>42</v>
      </c>
      <c r="G43" t="s">
        <v>33</v>
      </c>
      <c r="H43" t="s">
        <v>34</v>
      </c>
      <c r="I43">
        <v>7</v>
      </c>
      <c r="J43" s="11">
        <v>406626</v>
      </c>
      <c r="K43" s="11">
        <v>0</v>
      </c>
      <c r="L43" t="s">
        <v>35</v>
      </c>
      <c r="M43" t="s">
        <v>67</v>
      </c>
      <c r="N43" t="s">
        <v>61</v>
      </c>
      <c r="O43" t="s">
        <v>1377</v>
      </c>
    </row>
    <row r="44" spans="1:15" x14ac:dyDescent="0.25">
      <c r="A44" t="s">
        <v>181</v>
      </c>
      <c r="B44" t="s">
        <v>182</v>
      </c>
      <c r="C44" t="s">
        <v>200</v>
      </c>
      <c r="E44" t="s">
        <v>53</v>
      </c>
      <c r="F44" t="s">
        <v>42</v>
      </c>
      <c r="G44" t="s">
        <v>60</v>
      </c>
      <c r="H44" t="s">
        <v>54</v>
      </c>
      <c r="I44">
        <v>7</v>
      </c>
      <c r="J44" s="11">
        <v>1017645</v>
      </c>
      <c r="K44" s="11">
        <v>50000</v>
      </c>
      <c r="L44" t="s">
        <v>35</v>
      </c>
      <c r="M44" t="s">
        <v>36</v>
      </c>
      <c r="N44" t="s">
        <v>61</v>
      </c>
      <c r="O44" t="s">
        <v>1375</v>
      </c>
    </row>
    <row r="45" spans="1:15" x14ac:dyDescent="0.25">
      <c r="A45" t="s">
        <v>186</v>
      </c>
      <c r="B45" t="s">
        <v>187</v>
      </c>
      <c r="C45" t="s">
        <v>88</v>
      </c>
      <c r="D45" s="6">
        <v>46113</v>
      </c>
      <c r="E45" t="s">
        <v>80</v>
      </c>
      <c r="F45" t="s">
        <v>65</v>
      </c>
      <c r="G45" t="s">
        <v>60</v>
      </c>
      <c r="H45" t="s">
        <v>54</v>
      </c>
      <c r="I45">
        <v>2</v>
      </c>
      <c r="J45" s="11">
        <v>1712220</v>
      </c>
      <c r="K45" s="11">
        <v>35000</v>
      </c>
      <c r="L45" t="s">
        <v>35</v>
      </c>
      <c r="M45" t="s">
        <v>36</v>
      </c>
      <c r="N45" t="s">
        <v>61</v>
      </c>
    </row>
    <row r="46" spans="1:15" hidden="1" x14ac:dyDescent="0.25">
      <c r="A46" t="s">
        <v>188</v>
      </c>
      <c r="B46" t="s">
        <v>189</v>
      </c>
      <c r="C46" t="s">
        <v>190</v>
      </c>
      <c r="D46" s="6">
        <v>46115</v>
      </c>
      <c r="E46" t="s">
        <v>58</v>
      </c>
      <c r="F46" t="s">
        <v>59</v>
      </c>
      <c r="G46" t="s">
        <v>33</v>
      </c>
      <c r="H46" t="s">
        <v>47</v>
      </c>
      <c r="I46">
        <v>6</v>
      </c>
      <c r="J46" s="11">
        <v>1329097</v>
      </c>
      <c r="K46" s="11">
        <v>50000</v>
      </c>
      <c r="L46" t="s">
        <v>35</v>
      </c>
      <c r="M46" t="s">
        <v>67</v>
      </c>
      <c r="N46" t="s">
        <v>37</v>
      </c>
    </row>
    <row r="47" spans="1:15" x14ac:dyDescent="0.25">
      <c r="A47" t="s">
        <v>191</v>
      </c>
      <c r="B47" t="s">
        <v>192</v>
      </c>
      <c r="C47" t="s">
        <v>101</v>
      </c>
      <c r="D47" s="6">
        <v>46136</v>
      </c>
      <c r="E47" t="s">
        <v>31</v>
      </c>
      <c r="F47" t="s">
        <v>65</v>
      </c>
      <c r="G47" t="s">
        <v>60</v>
      </c>
      <c r="H47" t="s">
        <v>66</v>
      </c>
      <c r="I47">
        <v>4</v>
      </c>
      <c r="J47" s="11">
        <v>1067381</v>
      </c>
      <c r="K47" s="11">
        <v>50000</v>
      </c>
      <c r="L47" t="s">
        <v>35</v>
      </c>
      <c r="M47" t="s">
        <v>71</v>
      </c>
      <c r="N47" t="s">
        <v>61</v>
      </c>
    </row>
    <row r="48" spans="1:15" hidden="1" x14ac:dyDescent="0.25">
      <c r="A48" t="s">
        <v>193</v>
      </c>
      <c r="B48" t="s">
        <v>194</v>
      </c>
      <c r="C48" t="s">
        <v>195</v>
      </c>
      <c r="D48" s="6">
        <v>46195</v>
      </c>
      <c r="E48" t="s">
        <v>58</v>
      </c>
      <c r="F48" t="s">
        <v>65</v>
      </c>
      <c r="G48" t="s">
        <v>85</v>
      </c>
      <c r="H48" t="s">
        <v>47</v>
      </c>
      <c r="I48">
        <v>4</v>
      </c>
      <c r="J48" s="11">
        <v>2182122</v>
      </c>
      <c r="K48" s="11">
        <v>0</v>
      </c>
      <c r="L48" t="s">
        <v>35</v>
      </c>
      <c r="M48" t="s">
        <v>36</v>
      </c>
      <c r="N48" t="s">
        <v>37</v>
      </c>
      <c r="O48" t="s">
        <v>1377</v>
      </c>
    </row>
    <row r="49" spans="1:15" hidden="1" x14ac:dyDescent="0.25">
      <c r="A49" t="s">
        <v>196</v>
      </c>
      <c r="B49" t="s">
        <v>197</v>
      </c>
      <c r="C49" t="s">
        <v>198</v>
      </c>
      <c r="D49" s="6">
        <v>46174</v>
      </c>
      <c r="E49" t="s">
        <v>31</v>
      </c>
      <c r="F49" t="s">
        <v>59</v>
      </c>
      <c r="G49" t="s">
        <v>81</v>
      </c>
      <c r="H49" t="s">
        <v>34</v>
      </c>
      <c r="I49">
        <v>1</v>
      </c>
      <c r="J49" s="11">
        <v>546653</v>
      </c>
      <c r="K49" s="11">
        <v>15000</v>
      </c>
      <c r="L49" t="s">
        <v>35</v>
      </c>
      <c r="M49" t="s">
        <v>67</v>
      </c>
      <c r="N49" t="s">
        <v>37</v>
      </c>
    </row>
    <row r="50" spans="1:15" hidden="1" x14ac:dyDescent="0.25">
      <c r="A50" t="s">
        <v>199</v>
      </c>
      <c r="B50" t="s">
        <v>182</v>
      </c>
      <c r="C50" t="s">
        <v>200</v>
      </c>
      <c r="D50" s="6">
        <v>46150</v>
      </c>
      <c r="E50" t="s">
        <v>41</v>
      </c>
      <c r="F50" t="s">
        <v>32</v>
      </c>
      <c r="G50" t="s">
        <v>60</v>
      </c>
      <c r="H50" t="s">
        <v>76</v>
      </c>
      <c r="I50">
        <v>5</v>
      </c>
      <c r="J50" s="11">
        <v>1288190</v>
      </c>
      <c r="K50" s="11">
        <v>50000</v>
      </c>
      <c r="L50" t="s">
        <v>35</v>
      </c>
      <c r="M50" t="s">
        <v>71</v>
      </c>
      <c r="N50" t="s">
        <v>37</v>
      </c>
    </row>
    <row r="51" spans="1:15" x14ac:dyDescent="0.25">
      <c r="A51" t="s">
        <v>202</v>
      </c>
      <c r="B51" t="s">
        <v>203</v>
      </c>
      <c r="C51" t="s">
        <v>204</v>
      </c>
      <c r="D51" s="6">
        <v>46153</v>
      </c>
      <c r="E51" t="s">
        <v>41</v>
      </c>
      <c r="F51" t="s">
        <v>59</v>
      </c>
      <c r="G51" t="s">
        <v>85</v>
      </c>
      <c r="H51" t="s">
        <v>34</v>
      </c>
      <c r="I51">
        <v>7</v>
      </c>
      <c r="J51" s="11">
        <v>1289752</v>
      </c>
      <c r="K51" s="11">
        <v>15000</v>
      </c>
      <c r="L51" t="s">
        <v>35</v>
      </c>
      <c r="M51" t="s">
        <v>67</v>
      </c>
      <c r="N51" t="s">
        <v>61</v>
      </c>
    </row>
    <row r="52" spans="1:15" x14ac:dyDescent="0.25">
      <c r="A52" t="s">
        <v>206</v>
      </c>
      <c r="B52" t="s">
        <v>207</v>
      </c>
      <c r="C52" t="s">
        <v>208</v>
      </c>
      <c r="D52" s="6">
        <v>46036</v>
      </c>
      <c r="E52" t="s">
        <v>53</v>
      </c>
      <c r="F52" t="s">
        <v>32</v>
      </c>
      <c r="G52" t="s">
        <v>85</v>
      </c>
      <c r="H52" t="s">
        <v>66</v>
      </c>
      <c r="I52">
        <v>6</v>
      </c>
      <c r="J52" s="11">
        <v>406171</v>
      </c>
      <c r="K52" s="11">
        <v>35000</v>
      </c>
      <c r="L52" t="s">
        <v>35</v>
      </c>
      <c r="M52" t="s">
        <v>67</v>
      </c>
      <c r="N52" t="s">
        <v>61</v>
      </c>
    </row>
    <row r="53" spans="1:15" hidden="1" x14ac:dyDescent="0.25">
      <c r="A53" t="s">
        <v>209</v>
      </c>
      <c r="B53" t="s">
        <v>210</v>
      </c>
      <c r="C53" t="s">
        <v>45</v>
      </c>
      <c r="D53" s="6">
        <v>46042</v>
      </c>
      <c r="E53" t="s">
        <v>41</v>
      </c>
      <c r="F53" t="s">
        <v>59</v>
      </c>
      <c r="G53" t="s">
        <v>46</v>
      </c>
      <c r="H53" t="s">
        <v>66</v>
      </c>
      <c r="I53">
        <v>7</v>
      </c>
      <c r="J53" s="11">
        <v>2300823</v>
      </c>
      <c r="K53" s="11">
        <v>35000</v>
      </c>
      <c r="L53" t="s">
        <v>35</v>
      </c>
      <c r="M53" t="s">
        <v>67</v>
      </c>
      <c r="N53" t="s">
        <v>37</v>
      </c>
    </row>
    <row r="54" spans="1:15" hidden="1" x14ac:dyDescent="0.25">
      <c r="A54" t="s">
        <v>211</v>
      </c>
      <c r="B54" t="s">
        <v>212</v>
      </c>
      <c r="C54" t="s">
        <v>213</v>
      </c>
      <c r="D54" s="6">
        <v>46161</v>
      </c>
      <c r="E54" t="s">
        <v>58</v>
      </c>
      <c r="F54" t="s">
        <v>59</v>
      </c>
      <c r="G54" t="s">
        <v>60</v>
      </c>
      <c r="H54" t="s">
        <v>66</v>
      </c>
      <c r="I54">
        <v>7</v>
      </c>
      <c r="J54" s="11">
        <v>2412690</v>
      </c>
      <c r="K54" s="11">
        <v>0</v>
      </c>
      <c r="L54" t="s">
        <v>35</v>
      </c>
      <c r="M54" t="s">
        <v>36</v>
      </c>
      <c r="N54" t="s">
        <v>37</v>
      </c>
      <c r="O54" t="s">
        <v>1377</v>
      </c>
    </row>
    <row r="55" spans="1:15" x14ac:dyDescent="0.25">
      <c r="A55" t="s">
        <v>215</v>
      </c>
      <c r="B55" t="s">
        <v>216</v>
      </c>
      <c r="C55" t="s">
        <v>133</v>
      </c>
      <c r="D55" s="6">
        <v>46140</v>
      </c>
      <c r="E55" t="s">
        <v>80</v>
      </c>
      <c r="F55" t="s">
        <v>42</v>
      </c>
      <c r="G55" t="s">
        <v>60</v>
      </c>
      <c r="H55" t="s">
        <v>47</v>
      </c>
      <c r="I55">
        <v>2</v>
      </c>
      <c r="J55" s="11">
        <v>270915</v>
      </c>
      <c r="K55" s="11">
        <v>0</v>
      </c>
      <c r="L55" t="s">
        <v>35</v>
      </c>
      <c r="M55" t="s">
        <v>71</v>
      </c>
      <c r="N55" t="s">
        <v>61</v>
      </c>
      <c r="O55" t="s">
        <v>1377</v>
      </c>
    </row>
    <row r="56" spans="1:15" x14ac:dyDescent="0.25">
      <c r="A56" t="s">
        <v>217</v>
      </c>
      <c r="B56" t="s">
        <v>218</v>
      </c>
      <c r="C56" t="s">
        <v>219</v>
      </c>
      <c r="D56" s="6">
        <v>46122</v>
      </c>
      <c r="E56" t="s">
        <v>53</v>
      </c>
      <c r="F56" t="s">
        <v>59</v>
      </c>
      <c r="G56" t="s">
        <v>60</v>
      </c>
      <c r="H56" t="s">
        <v>76</v>
      </c>
      <c r="I56">
        <v>5</v>
      </c>
      <c r="J56" s="11">
        <v>2164534</v>
      </c>
      <c r="K56" s="11">
        <v>0</v>
      </c>
      <c r="L56" t="s">
        <v>35</v>
      </c>
      <c r="M56" t="s">
        <v>36</v>
      </c>
      <c r="N56" t="s">
        <v>61</v>
      </c>
      <c r="O56" t="s">
        <v>1377</v>
      </c>
    </row>
    <row r="57" spans="1:15" x14ac:dyDescent="0.25">
      <c r="A57" t="s">
        <v>221</v>
      </c>
      <c r="B57" t="s">
        <v>179</v>
      </c>
      <c r="C57" t="s">
        <v>180</v>
      </c>
      <c r="D57" s="6">
        <v>46037</v>
      </c>
      <c r="E57" t="s">
        <v>80</v>
      </c>
      <c r="F57" t="s">
        <v>32</v>
      </c>
      <c r="G57" t="s">
        <v>33</v>
      </c>
      <c r="H57" t="s">
        <v>54</v>
      </c>
      <c r="I57">
        <v>4</v>
      </c>
      <c r="J57" s="11">
        <v>1761586</v>
      </c>
      <c r="K57" s="11">
        <v>25000</v>
      </c>
      <c r="L57" t="s">
        <v>35</v>
      </c>
      <c r="M57" t="s">
        <v>36</v>
      </c>
      <c r="N57" t="s">
        <v>61</v>
      </c>
    </row>
    <row r="58" spans="1:15" hidden="1" x14ac:dyDescent="0.25">
      <c r="A58" t="s">
        <v>222</v>
      </c>
      <c r="B58" t="s">
        <v>223</v>
      </c>
      <c r="C58" t="s">
        <v>224</v>
      </c>
      <c r="D58" s="6">
        <v>46034</v>
      </c>
      <c r="E58" t="s">
        <v>80</v>
      </c>
      <c r="F58" t="s">
        <v>59</v>
      </c>
      <c r="G58" t="s">
        <v>81</v>
      </c>
      <c r="H58" t="s">
        <v>47</v>
      </c>
      <c r="I58">
        <v>3</v>
      </c>
      <c r="J58" s="11">
        <v>657701</v>
      </c>
      <c r="K58" s="11">
        <v>25000</v>
      </c>
      <c r="L58" t="s">
        <v>48</v>
      </c>
      <c r="M58" t="s">
        <v>49</v>
      </c>
      <c r="N58" t="s">
        <v>37</v>
      </c>
    </row>
    <row r="59" spans="1:15" hidden="1" x14ac:dyDescent="0.25">
      <c r="A59" t="s">
        <v>225</v>
      </c>
      <c r="B59" t="s">
        <v>121</v>
      </c>
      <c r="C59" t="s">
        <v>122</v>
      </c>
      <c r="D59" s="6">
        <v>46128</v>
      </c>
      <c r="E59" t="s">
        <v>80</v>
      </c>
      <c r="F59" t="s">
        <v>65</v>
      </c>
      <c r="G59" t="s">
        <v>75</v>
      </c>
      <c r="H59" t="s">
        <v>54</v>
      </c>
      <c r="I59">
        <v>6</v>
      </c>
      <c r="J59" s="11">
        <v>1593330</v>
      </c>
      <c r="K59" s="11">
        <v>0</v>
      </c>
      <c r="L59" t="s">
        <v>35</v>
      </c>
      <c r="M59" t="s">
        <v>67</v>
      </c>
      <c r="N59" t="s">
        <v>37</v>
      </c>
      <c r="O59" t="s">
        <v>1377</v>
      </c>
    </row>
    <row r="60" spans="1:15" hidden="1" x14ac:dyDescent="0.25">
      <c r="A60" t="s">
        <v>226</v>
      </c>
      <c r="B60" t="s">
        <v>164</v>
      </c>
      <c r="C60" t="s">
        <v>165</v>
      </c>
      <c r="D60" s="6">
        <v>46109</v>
      </c>
      <c r="E60" t="s">
        <v>41</v>
      </c>
      <c r="F60" t="s">
        <v>59</v>
      </c>
      <c r="G60" t="s">
        <v>33</v>
      </c>
      <c r="H60" t="s">
        <v>54</v>
      </c>
      <c r="I60">
        <v>5</v>
      </c>
      <c r="J60" s="11">
        <v>832105</v>
      </c>
      <c r="K60" s="11">
        <v>0</v>
      </c>
      <c r="L60" t="s">
        <v>35</v>
      </c>
      <c r="M60" t="s">
        <v>36</v>
      </c>
      <c r="N60" t="s">
        <v>37</v>
      </c>
      <c r="O60" t="s">
        <v>1377</v>
      </c>
    </row>
    <row r="61" spans="1:15" hidden="1" x14ac:dyDescent="0.25">
      <c r="A61" t="s">
        <v>227</v>
      </c>
      <c r="B61" t="s">
        <v>228</v>
      </c>
      <c r="C61" t="s">
        <v>229</v>
      </c>
      <c r="D61" s="6">
        <v>46028</v>
      </c>
      <c r="E61" t="s">
        <v>41</v>
      </c>
      <c r="F61" t="s">
        <v>65</v>
      </c>
      <c r="G61" t="s">
        <v>75</v>
      </c>
      <c r="H61" t="s">
        <v>34</v>
      </c>
      <c r="I61">
        <v>5</v>
      </c>
      <c r="J61" s="11"/>
      <c r="K61" s="11">
        <v>35000</v>
      </c>
      <c r="L61" t="s">
        <v>35</v>
      </c>
      <c r="M61" t="s">
        <v>36</v>
      </c>
      <c r="N61" t="s">
        <v>37</v>
      </c>
      <c r="O61" t="s">
        <v>1374</v>
      </c>
    </row>
    <row r="62" spans="1:15" x14ac:dyDescent="0.25">
      <c r="A62" t="s">
        <v>230</v>
      </c>
      <c r="B62" t="s">
        <v>231</v>
      </c>
      <c r="C62" t="s">
        <v>198</v>
      </c>
      <c r="D62" s="6">
        <v>46151</v>
      </c>
      <c r="E62" t="s">
        <v>31</v>
      </c>
      <c r="F62" t="s">
        <v>59</v>
      </c>
      <c r="G62" t="s">
        <v>75</v>
      </c>
      <c r="H62" t="s">
        <v>54</v>
      </c>
      <c r="I62">
        <v>5</v>
      </c>
      <c r="J62" s="11">
        <v>1544131</v>
      </c>
      <c r="K62" s="11">
        <v>15000</v>
      </c>
      <c r="L62" t="s">
        <v>35</v>
      </c>
      <c r="M62" t="s">
        <v>49</v>
      </c>
      <c r="N62" t="s">
        <v>61</v>
      </c>
    </row>
    <row r="63" spans="1:15" hidden="1" x14ac:dyDescent="0.25">
      <c r="A63" t="s">
        <v>234</v>
      </c>
      <c r="B63" t="s">
        <v>235</v>
      </c>
      <c r="C63" t="s">
        <v>190</v>
      </c>
      <c r="D63" s="6">
        <v>46090</v>
      </c>
      <c r="E63" t="s">
        <v>58</v>
      </c>
      <c r="F63" t="s">
        <v>65</v>
      </c>
      <c r="G63" t="s">
        <v>46</v>
      </c>
      <c r="H63" t="s">
        <v>66</v>
      </c>
      <c r="I63">
        <v>5</v>
      </c>
      <c r="J63" s="11">
        <v>319360</v>
      </c>
      <c r="K63" s="11">
        <v>25000</v>
      </c>
      <c r="L63" t="s">
        <v>35</v>
      </c>
      <c r="M63" t="s">
        <v>67</v>
      </c>
      <c r="N63" t="s">
        <v>37</v>
      </c>
    </row>
    <row r="64" spans="1:15" hidden="1" x14ac:dyDescent="0.25">
      <c r="A64" t="s">
        <v>236</v>
      </c>
      <c r="B64" t="s">
        <v>237</v>
      </c>
      <c r="C64" t="s">
        <v>238</v>
      </c>
      <c r="D64" s="6">
        <v>46168</v>
      </c>
      <c r="E64" t="s">
        <v>80</v>
      </c>
      <c r="F64" t="s">
        <v>32</v>
      </c>
      <c r="G64" t="s">
        <v>60</v>
      </c>
      <c r="H64" t="s">
        <v>76</v>
      </c>
      <c r="I64">
        <v>4</v>
      </c>
      <c r="J64" s="11">
        <v>2347442</v>
      </c>
      <c r="K64" s="11">
        <v>35000</v>
      </c>
      <c r="L64" t="s">
        <v>35</v>
      </c>
      <c r="M64" t="s">
        <v>71</v>
      </c>
      <c r="N64" t="s">
        <v>37</v>
      </c>
    </row>
    <row r="65" spans="1:15" x14ac:dyDescent="0.25">
      <c r="A65" t="s">
        <v>239</v>
      </c>
      <c r="B65" t="s">
        <v>240</v>
      </c>
      <c r="C65" t="s">
        <v>241</v>
      </c>
      <c r="D65" s="6">
        <v>46129</v>
      </c>
      <c r="E65" t="s">
        <v>53</v>
      </c>
      <c r="F65" t="s">
        <v>42</v>
      </c>
      <c r="G65" t="s">
        <v>81</v>
      </c>
      <c r="H65" t="s">
        <v>76</v>
      </c>
      <c r="I65">
        <v>5</v>
      </c>
      <c r="J65" s="11">
        <v>1807372</v>
      </c>
      <c r="K65" s="11">
        <v>25000</v>
      </c>
      <c r="L65" t="s">
        <v>35</v>
      </c>
      <c r="M65" t="s">
        <v>36</v>
      </c>
      <c r="N65" t="s">
        <v>61</v>
      </c>
    </row>
    <row r="66" spans="1:15" x14ac:dyDescent="0.25">
      <c r="A66" t="s">
        <v>242</v>
      </c>
      <c r="B66" t="s">
        <v>243</v>
      </c>
      <c r="C66" t="s">
        <v>244</v>
      </c>
      <c r="D66" s="6">
        <v>46150</v>
      </c>
      <c r="E66" t="s">
        <v>53</v>
      </c>
      <c r="F66" t="s">
        <v>59</v>
      </c>
      <c r="G66" t="s">
        <v>46</v>
      </c>
      <c r="H66" t="s">
        <v>54</v>
      </c>
      <c r="I66">
        <v>3</v>
      </c>
      <c r="J66" s="11">
        <v>1013188</v>
      </c>
      <c r="K66" s="11">
        <v>35000</v>
      </c>
      <c r="L66" t="s">
        <v>245</v>
      </c>
      <c r="M66" t="s">
        <v>36</v>
      </c>
      <c r="N66" t="s">
        <v>61</v>
      </c>
    </row>
    <row r="67" spans="1:15" x14ac:dyDescent="0.25">
      <c r="A67" t="s">
        <v>246</v>
      </c>
      <c r="B67" t="s">
        <v>247</v>
      </c>
      <c r="C67" t="s">
        <v>248</v>
      </c>
      <c r="D67" s="6">
        <v>46141</v>
      </c>
      <c r="E67" t="s">
        <v>41</v>
      </c>
      <c r="F67" t="s">
        <v>59</v>
      </c>
      <c r="G67" t="s">
        <v>33</v>
      </c>
      <c r="H67" t="s">
        <v>54</v>
      </c>
      <c r="I67">
        <v>2</v>
      </c>
      <c r="J67" s="11">
        <v>739681</v>
      </c>
      <c r="K67" s="11">
        <v>15000</v>
      </c>
      <c r="L67" t="s">
        <v>35</v>
      </c>
      <c r="M67" t="s">
        <v>36</v>
      </c>
      <c r="N67" t="s">
        <v>61</v>
      </c>
    </row>
    <row r="68" spans="1:15" x14ac:dyDescent="0.25">
      <c r="A68" t="s">
        <v>249</v>
      </c>
      <c r="B68" t="s">
        <v>250</v>
      </c>
      <c r="C68" t="s">
        <v>204</v>
      </c>
      <c r="D68" s="6">
        <v>46128</v>
      </c>
      <c r="E68" t="s">
        <v>31</v>
      </c>
      <c r="F68" t="s">
        <v>59</v>
      </c>
      <c r="G68" t="s">
        <v>85</v>
      </c>
      <c r="H68" t="s">
        <v>54</v>
      </c>
      <c r="I68">
        <v>6</v>
      </c>
      <c r="J68" s="11">
        <v>1239605</v>
      </c>
      <c r="K68" s="11">
        <v>25000</v>
      </c>
      <c r="L68" t="s">
        <v>35</v>
      </c>
      <c r="M68" t="s">
        <v>36</v>
      </c>
      <c r="N68" t="s">
        <v>61</v>
      </c>
    </row>
    <row r="69" spans="1:15" hidden="1" x14ac:dyDescent="0.25">
      <c r="A69" t="s">
        <v>251</v>
      </c>
      <c r="B69" t="s">
        <v>252</v>
      </c>
      <c r="C69" t="s">
        <v>253</v>
      </c>
      <c r="D69" s="6">
        <v>46030</v>
      </c>
      <c r="E69" t="s">
        <v>41</v>
      </c>
      <c r="F69" t="s">
        <v>65</v>
      </c>
      <c r="G69" t="s">
        <v>85</v>
      </c>
      <c r="H69" t="s">
        <v>34</v>
      </c>
      <c r="I69">
        <v>4</v>
      </c>
      <c r="J69" s="11">
        <v>1150064</v>
      </c>
      <c r="K69" s="11">
        <v>25000</v>
      </c>
      <c r="L69" t="s">
        <v>35</v>
      </c>
      <c r="M69" t="s">
        <v>49</v>
      </c>
      <c r="N69" t="s">
        <v>37</v>
      </c>
    </row>
    <row r="70" spans="1:15" x14ac:dyDescent="0.25">
      <c r="A70" t="s">
        <v>255</v>
      </c>
      <c r="B70" t="s">
        <v>256</v>
      </c>
      <c r="C70" t="s">
        <v>257</v>
      </c>
      <c r="D70" s="6">
        <v>46030</v>
      </c>
      <c r="E70" t="s">
        <v>58</v>
      </c>
      <c r="F70" t="s">
        <v>59</v>
      </c>
      <c r="G70" t="s">
        <v>81</v>
      </c>
      <c r="H70" t="s">
        <v>54</v>
      </c>
      <c r="I70">
        <v>6</v>
      </c>
      <c r="J70" s="11">
        <v>1203794</v>
      </c>
      <c r="K70" s="11">
        <v>25000</v>
      </c>
      <c r="L70" t="s">
        <v>35</v>
      </c>
      <c r="M70" t="s">
        <v>36</v>
      </c>
      <c r="N70" t="s">
        <v>61</v>
      </c>
    </row>
    <row r="71" spans="1:15" x14ac:dyDescent="0.25">
      <c r="A71" t="s">
        <v>258</v>
      </c>
      <c r="B71" t="s">
        <v>259</v>
      </c>
      <c r="C71" t="s">
        <v>260</v>
      </c>
      <c r="D71" s="6">
        <v>46177</v>
      </c>
      <c r="E71" t="s">
        <v>41</v>
      </c>
      <c r="F71" t="s">
        <v>42</v>
      </c>
      <c r="G71" t="s">
        <v>85</v>
      </c>
      <c r="H71" t="s">
        <v>54</v>
      </c>
      <c r="I71">
        <v>4</v>
      </c>
      <c r="J71" s="11">
        <v>1369815</v>
      </c>
      <c r="K71" s="11">
        <v>0</v>
      </c>
      <c r="L71" t="s">
        <v>48</v>
      </c>
      <c r="M71" t="s">
        <v>49</v>
      </c>
      <c r="N71" t="s">
        <v>61</v>
      </c>
      <c r="O71" t="s">
        <v>1377</v>
      </c>
    </row>
    <row r="72" spans="1:15" x14ac:dyDescent="0.25">
      <c r="A72" t="s">
        <v>261</v>
      </c>
      <c r="B72" t="s">
        <v>262</v>
      </c>
      <c r="C72" t="s">
        <v>263</v>
      </c>
      <c r="D72" s="6">
        <v>46193</v>
      </c>
      <c r="E72" t="s">
        <v>80</v>
      </c>
      <c r="F72" t="s">
        <v>32</v>
      </c>
      <c r="G72" t="s">
        <v>46</v>
      </c>
      <c r="H72" t="s">
        <v>47</v>
      </c>
      <c r="I72">
        <v>4</v>
      </c>
      <c r="J72" s="11">
        <v>2323100</v>
      </c>
      <c r="K72" s="11">
        <v>25000</v>
      </c>
      <c r="L72" t="s">
        <v>48</v>
      </c>
      <c r="M72" t="s">
        <v>36</v>
      </c>
      <c r="N72" t="s">
        <v>61</v>
      </c>
    </row>
    <row r="73" spans="1:15" x14ac:dyDescent="0.25">
      <c r="A73" t="s">
        <v>264</v>
      </c>
      <c r="B73" t="s">
        <v>265</v>
      </c>
      <c r="C73" t="s">
        <v>266</v>
      </c>
      <c r="D73" s="6">
        <v>46131</v>
      </c>
      <c r="E73" t="s">
        <v>41</v>
      </c>
      <c r="F73" t="s">
        <v>59</v>
      </c>
      <c r="G73" t="s">
        <v>33</v>
      </c>
      <c r="H73" t="s">
        <v>76</v>
      </c>
      <c r="I73">
        <v>1</v>
      </c>
      <c r="J73" s="11">
        <v>1034393</v>
      </c>
      <c r="K73" s="11">
        <v>15000</v>
      </c>
      <c r="L73" t="s">
        <v>35</v>
      </c>
      <c r="M73" t="s">
        <v>49</v>
      </c>
      <c r="N73" t="s">
        <v>61</v>
      </c>
    </row>
    <row r="74" spans="1:15" hidden="1" x14ac:dyDescent="0.25">
      <c r="A74" t="s">
        <v>267</v>
      </c>
      <c r="B74" t="s">
        <v>268</v>
      </c>
      <c r="C74" t="s">
        <v>219</v>
      </c>
      <c r="D74" s="6">
        <v>46159</v>
      </c>
      <c r="E74" t="s">
        <v>31</v>
      </c>
      <c r="F74" t="s">
        <v>32</v>
      </c>
      <c r="G74" t="s">
        <v>85</v>
      </c>
      <c r="H74" t="s">
        <v>66</v>
      </c>
      <c r="I74">
        <v>3</v>
      </c>
      <c r="J74" s="11">
        <v>1691626</v>
      </c>
      <c r="K74" s="11">
        <v>0</v>
      </c>
      <c r="L74" t="s">
        <v>35</v>
      </c>
      <c r="M74" t="s">
        <v>36</v>
      </c>
      <c r="N74" t="s">
        <v>37</v>
      </c>
      <c r="O74" t="s">
        <v>1377</v>
      </c>
    </row>
    <row r="75" spans="1:15" hidden="1" x14ac:dyDescent="0.25">
      <c r="A75" t="s">
        <v>269</v>
      </c>
      <c r="B75" t="s">
        <v>270</v>
      </c>
      <c r="C75" t="s">
        <v>271</v>
      </c>
      <c r="D75" s="6">
        <v>46117</v>
      </c>
      <c r="E75" t="s">
        <v>58</v>
      </c>
      <c r="F75" t="s">
        <v>42</v>
      </c>
      <c r="G75" t="s">
        <v>33</v>
      </c>
      <c r="H75" t="s">
        <v>76</v>
      </c>
      <c r="I75">
        <v>6</v>
      </c>
      <c r="J75" s="11">
        <v>1412564</v>
      </c>
      <c r="K75" s="11">
        <v>0</v>
      </c>
      <c r="L75" t="s">
        <v>89</v>
      </c>
      <c r="M75" t="s">
        <v>49</v>
      </c>
      <c r="N75" t="s">
        <v>37</v>
      </c>
      <c r="O75" t="s">
        <v>1377</v>
      </c>
    </row>
    <row r="76" spans="1:15" x14ac:dyDescent="0.25">
      <c r="A76" t="s">
        <v>272</v>
      </c>
      <c r="B76" t="s">
        <v>218</v>
      </c>
      <c r="C76" t="s">
        <v>219</v>
      </c>
      <c r="D76" s="6">
        <v>46186</v>
      </c>
      <c r="E76" t="s">
        <v>41</v>
      </c>
      <c r="F76" t="s">
        <v>32</v>
      </c>
      <c r="G76" t="s">
        <v>33</v>
      </c>
      <c r="H76" t="s">
        <v>54</v>
      </c>
      <c r="I76">
        <v>5</v>
      </c>
      <c r="J76" s="11">
        <v>1641924</v>
      </c>
      <c r="K76" s="11">
        <v>0</v>
      </c>
      <c r="L76" t="s">
        <v>48</v>
      </c>
      <c r="M76" t="s">
        <v>71</v>
      </c>
      <c r="N76" t="s">
        <v>61</v>
      </c>
      <c r="O76" t="s">
        <v>1377</v>
      </c>
    </row>
    <row r="77" spans="1:15" hidden="1" x14ac:dyDescent="0.25">
      <c r="A77" t="s">
        <v>274</v>
      </c>
      <c r="B77" t="s">
        <v>275</v>
      </c>
      <c r="C77" t="s">
        <v>276</v>
      </c>
      <c r="D77" s="6">
        <v>46076</v>
      </c>
      <c r="E77" t="s">
        <v>41</v>
      </c>
      <c r="F77" t="s">
        <v>65</v>
      </c>
      <c r="G77" t="s">
        <v>33</v>
      </c>
      <c r="H77" t="s">
        <v>54</v>
      </c>
      <c r="I77">
        <v>6</v>
      </c>
      <c r="J77" s="11">
        <v>792041</v>
      </c>
      <c r="K77" s="11">
        <v>35000</v>
      </c>
      <c r="L77" t="s">
        <v>35</v>
      </c>
      <c r="M77" t="s">
        <v>71</v>
      </c>
      <c r="N77" t="s">
        <v>37</v>
      </c>
    </row>
    <row r="78" spans="1:15" hidden="1" x14ac:dyDescent="0.25">
      <c r="A78" t="s">
        <v>277</v>
      </c>
      <c r="B78" t="s">
        <v>172</v>
      </c>
      <c r="C78" t="s">
        <v>173</v>
      </c>
      <c r="D78" s="6">
        <v>46128</v>
      </c>
      <c r="E78" t="s">
        <v>80</v>
      </c>
      <c r="F78" t="s">
        <v>65</v>
      </c>
      <c r="G78" t="s">
        <v>33</v>
      </c>
      <c r="H78" t="s">
        <v>47</v>
      </c>
      <c r="I78">
        <v>7</v>
      </c>
      <c r="J78" s="11">
        <v>1515538</v>
      </c>
      <c r="K78" s="11">
        <v>35000</v>
      </c>
      <c r="L78" t="s">
        <v>35</v>
      </c>
      <c r="M78" t="s">
        <v>67</v>
      </c>
      <c r="N78" t="s">
        <v>37</v>
      </c>
    </row>
    <row r="79" spans="1:15" hidden="1" x14ac:dyDescent="0.25">
      <c r="A79" t="s">
        <v>278</v>
      </c>
      <c r="B79" t="s">
        <v>279</v>
      </c>
      <c r="C79" t="s">
        <v>111</v>
      </c>
      <c r="D79" s="6">
        <v>46200</v>
      </c>
      <c r="E79" t="s">
        <v>31</v>
      </c>
      <c r="F79" t="s">
        <v>65</v>
      </c>
      <c r="G79" t="s">
        <v>60</v>
      </c>
      <c r="H79" t="s">
        <v>34</v>
      </c>
      <c r="I79">
        <v>6</v>
      </c>
      <c r="J79" s="11">
        <v>234717</v>
      </c>
      <c r="K79" s="11">
        <v>0</v>
      </c>
      <c r="L79" t="s">
        <v>35</v>
      </c>
      <c r="M79" t="s">
        <v>36</v>
      </c>
      <c r="N79" t="s">
        <v>37</v>
      </c>
      <c r="O79" t="s">
        <v>1377</v>
      </c>
    </row>
    <row r="80" spans="1:15" hidden="1" x14ac:dyDescent="0.25">
      <c r="A80" t="s">
        <v>281</v>
      </c>
      <c r="B80" t="s">
        <v>259</v>
      </c>
      <c r="C80" t="s">
        <v>260</v>
      </c>
      <c r="E80" t="s">
        <v>31</v>
      </c>
      <c r="F80" t="s">
        <v>59</v>
      </c>
      <c r="G80" t="s">
        <v>33</v>
      </c>
      <c r="H80" t="s">
        <v>47</v>
      </c>
      <c r="I80">
        <v>2</v>
      </c>
      <c r="J80" s="11">
        <v>464906</v>
      </c>
      <c r="K80" s="11">
        <v>0</v>
      </c>
      <c r="L80" t="s">
        <v>35</v>
      </c>
      <c r="M80" t="s">
        <v>36</v>
      </c>
      <c r="N80" t="s">
        <v>37</v>
      </c>
      <c r="O80" t="s">
        <v>1383</v>
      </c>
    </row>
    <row r="81" spans="1:15" hidden="1" x14ac:dyDescent="0.25">
      <c r="A81" t="s">
        <v>282</v>
      </c>
      <c r="B81" t="s">
        <v>283</v>
      </c>
      <c r="C81" t="s">
        <v>284</v>
      </c>
      <c r="D81" s="6">
        <v>46057</v>
      </c>
      <c r="E81" t="s">
        <v>80</v>
      </c>
      <c r="F81" t="s">
        <v>42</v>
      </c>
      <c r="G81" t="s">
        <v>81</v>
      </c>
      <c r="H81" t="s">
        <v>47</v>
      </c>
      <c r="I81">
        <v>6</v>
      </c>
      <c r="J81" s="11">
        <v>1213370</v>
      </c>
      <c r="K81" s="11">
        <v>15000</v>
      </c>
      <c r="L81" t="s">
        <v>35</v>
      </c>
      <c r="M81" t="s">
        <v>67</v>
      </c>
      <c r="N81" t="s">
        <v>37</v>
      </c>
    </row>
    <row r="82" spans="1:15" x14ac:dyDescent="0.25">
      <c r="A82" t="s">
        <v>285</v>
      </c>
      <c r="B82" t="s">
        <v>286</v>
      </c>
      <c r="C82" t="s">
        <v>45</v>
      </c>
      <c r="D82" s="6">
        <v>46123</v>
      </c>
      <c r="E82" t="s">
        <v>53</v>
      </c>
      <c r="F82" t="s">
        <v>42</v>
      </c>
      <c r="G82" t="s">
        <v>81</v>
      </c>
      <c r="H82" t="s">
        <v>47</v>
      </c>
      <c r="I82">
        <v>2</v>
      </c>
      <c r="J82" s="11">
        <v>1702594</v>
      </c>
      <c r="K82" s="11">
        <v>50000</v>
      </c>
      <c r="L82" t="s">
        <v>35</v>
      </c>
      <c r="M82" t="s">
        <v>67</v>
      </c>
      <c r="N82" t="s">
        <v>61</v>
      </c>
    </row>
    <row r="83" spans="1:15" x14ac:dyDescent="0.25">
      <c r="A83" t="s">
        <v>287</v>
      </c>
      <c r="B83" t="s">
        <v>143</v>
      </c>
      <c r="C83" t="s">
        <v>144</v>
      </c>
      <c r="D83" s="6">
        <v>46202</v>
      </c>
      <c r="E83" t="s">
        <v>31</v>
      </c>
      <c r="F83" t="s">
        <v>65</v>
      </c>
      <c r="G83" t="s">
        <v>33</v>
      </c>
      <c r="H83" t="s">
        <v>34</v>
      </c>
      <c r="I83">
        <v>4</v>
      </c>
      <c r="J83" s="11">
        <v>827813</v>
      </c>
      <c r="K83" s="11">
        <v>0</v>
      </c>
      <c r="L83" t="s">
        <v>35</v>
      </c>
      <c r="M83" t="s">
        <v>36</v>
      </c>
      <c r="N83" t="s">
        <v>61</v>
      </c>
      <c r="O83" t="s">
        <v>1377</v>
      </c>
    </row>
    <row r="84" spans="1:15" hidden="1" x14ac:dyDescent="0.25">
      <c r="A84" t="s">
        <v>288</v>
      </c>
      <c r="B84" t="s">
        <v>194</v>
      </c>
      <c r="C84" t="s">
        <v>195</v>
      </c>
      <c r="D84" s="6">
        <v>46157</v>
      </c>
      <c r="E84" t="s">
        <v>31</v>
      </c>
      <c r="F84" t="s">
        <v>42</v>
      </c>
      <c r="G84" t="s">
        <v>33</v>
      </c>
      <c r="H84" t="s">
        <v>66</v>
      </c>
      <c r="I84">
        <v>7</v>
      </c>
      <c r="J84" s="11">
        <v>1945188</v>
      </c>
      <c r="K84" s="11">
        <v>35000</v>
      </c>
      <c r="L84" t="s">
        <v>35</v>
      </c>
      <c r="M84" t="s">
        <v>67</v>
      </c>
      <c r="N84" t="s">
        <v>37</v>
      </c>
    </row>
    <row r="85" spans="1:15" x14ac:dyDescent="0.25">
      <c r="A85" t="s">
        <v>289</v>
      </c>
      <c r="B85" t="s">
        <v>290</v>
      </c>
      <c r="C85" t="s">
        <v>104</v>
      </c>
      <c r="D85" s="6">
        <v>46056</v>
      </c>
      <c r="E85" t="s">
        <v>31</v>
      </c>
      <c r="F85" t="s">
        <v>59</v>
      </c>
      <c r="G85" t="s">
        <v>85</v>
      </c>
      <c r="H85" t="s">
        <v>47</v>
      </c>
      <c r="I85">
        <v>5</v>
      </c>
      <c r="J85" s="11">
        <v>1929039</v>
      </c>
      <c r="K85" s="11">
        <v>15000</v>
      </c>
      <c r="L85" t="s">
        <v>35</v>
      </c>
      <c r="M85" t="s">
        <v>71</v>
      </c>
      <c r="N85" t="s">
        <v>61</v>
      </c>
    </row>
    <row r="86" spans="1:15" hidden="1" x14ac:dyDescent="0.25">
      <c r="A86" t="s">
        <v>291</v>
      </c>
      <c r="B86" t="s">
        <v>292</v>
      </c>
      <c r="C86" t="s">
        <v>152</v>
      </c>
      <c r="D86" s="6">
        <v>46097</v>
      </c>
      <c r="E86" t="s">
        <v>53</v>
      </c>
      <c r="F86" t="s">
        <v>59</v>
      </c>
      <c r="G86" t="s">
        <v>81</v>
      </c>
      <c r="H86" t="s">
        <v>54</v>
      </c>
      <c r="I86">
        <v>5</v>
      </c>
      <c r="J86" s="11">
        <v>1218066</v>
      </c>
      <c r="K86" s="11">
        <v>15000</v>
      </c>
      <c r="L86" t="s">
        <v>35</v>
      </c>
      <c r="M86" t="s">
        <v>67</v>
      </c>
      <c r="N86" t="s">
        <v>37</v>
      </c>
    </row>
    <row r="87" spans="1:15" x14ac:dyDescent="0.25">
      <c r="A87" t="s">
        <v>293</v>
      </c>
      <c r="B87" t="s">
        <v>256</v>
      </c>
      <c r="C87" t="s">
        <v>257</v>
      </c>
      <c r="D87" s="6">
        <v>46105</v>
      </c>
      <c r="E87" t="s">
        <v>53</v>
      </c>
      <c r="F87" t="s">
        <v>32</v>
      </c>
      <c r="G87" t="s">
        <v>81</v>
      </c>
      <c r="H87" t="s">
        <v>54</v>
      </c>
      <c r="I87">
        <v>6</v>
      </c>
      <c r="J87" s="11">
        <v>1787465</v>
      </c>
      <c r="K87" s="11">
        <v>15000</v>
      </c>
      <c r="L87" t="s">
        <v>35</v>
      </c>
      <c r="M87" t="s">
        <v>36</v>
      </c>
      <c r="N87" t="s">
        <v>61</v>
      </c>
    </row>
    <row r="88" spans="1:15" hidden="1" x14ac:dyDescent="0.25">
      <c r="A88" t="s">
        <v>295</v>
      </c>
      <c r="B88" t="s">
        <v>296</v>
      </c>
      <c r="C88" t="s">
        <v>144</v>
      </c>
      <c r="D88" s="6">
        <v>46108</v>
      </c>
      <c r="E88" t="s">
        <v>53</v>
      </c>
      <c r="F88" t="s">
        <v>65</v>
      </c>
      <c r="G88" t="s">
        <v>81</v>
      </c>
      <c r="H88" t="s">
        <v>66</v>
      </c>
      <c r="I88">
        <v>3</v>
      </c>
      <c r="J88" s="11">
        <v>1104996</v>
      </c>
      <c r="K88" s="11">
        <v>35000</v>
      </c>
      <c r="L88" t="s">
        <v>89</v>
      </c>
      <c r="M88" t="s">
        <v>49</v>
      </c>
      <c r="N88" t="s">
        <v>37</v>
      </c>
    </row>
    <row r="89" spans="1:15" x14ac:dyDescent="0.25">
      <c r="A89" t="s">
        <v>297</v>
      </c>
      <c r="B89" t="s">
        <v>298</v>
      </c>
      <c r="C89" t="s">
        <v>88</v>
      </c>
      <c r="D89" s="6">
        <v>46124</v>
      </c>
      <c r="E89" t="s">
        <v>31</v>
      </c>
      <c r="F89" t="s">
        <v>59</v>
      </c>
      <c r="G89" t="s">
        <v>33</v>
      </c>
      <c r="H89" t="s">
        <v>47</v>
      </c>
      <c r="I89">
        <v>5</v>
      </c>
      <c r="J89" s="11">
        <v>1675672</v>
      </c>
      <c r="K89" s="11">
        <v>15000</v>
      </c>
      <c r="L89" t="s">
        <v>35</v>
      </c>
      <c r="N89" t="s">
        <v>61</v>
      </c>
      <c r="O89" t="s">
        <v>1379</v>
      </c>
    </row>
    <row r="90" spans="1:15" hidden="1" x14ac:dyDescent="0.25">
      <c r="A90" t="s">
        <v>299</v>
      </c>
      <c r="B90" t="s">
        <v>300</v>
      </c>
      <c r="C90" t="s">
        <v>107</v>
      </c>
      <c r="D90" s="6">
        <v>46104</v>
      </c>
      <c r="E90" t="s">
        <v>31</v>
      </c>
      <c r="F90" t="s">
        <v>59</v>
      </c>
      <c r="G90" t="s">
        <v>33</v>
      </c>
      <c r="H90" t="s">
        <v>66</v>
      </c>
      <c r="I90">
        <v>2</v>
      </c>
      <c r="J90" s="11">
        <v>2344758</v>
      </c>
      <c r="K90" s="11">
        <v>35000</v>
      </c>
      <c r="L90" t="s">
        <v>35</v>
      </c>
      <c r="M90" t="s">
        <v>67</v>
      </c>
      <c r="N90" t="s">
        <v>37</v>
      </c>
    </row>
    <row r="91" spans="1:15" x14ac:dyDescent="0.25">
      <c r="A91" t="s">
        <v>301</v>
      </c>
      <c r="B91" t="s">
        <v>302</v>
      </c>
      <c r="C91" t="s">
        <v>111</v>
      </c>
      <c r="D91" s="6">
        <v>46268</v>
      </c>
      <c r="E91" t="s">
        <v>41</v>
      </c>
      <c r="F91" t="s">
        <v>42</v>
      </c>
      <c r="G91" t="s">
        <v>46</v>
      </c>
      <c r="H91" t="s">
        <v>47</v>
      </c>
      <c r="I91">
        <v>3</v>
      </c>
      <c r="J91" s="11">
        <v>1226280</v>
      </c>
      <c r="K91" s="11">
        <v>50000</v>
      </c>
      <c r="L91" t="s">
        <v>35</v>
      </c>
      <c r="M91" t="s">
        <v>67</v>
      </c>
      <c r="N91" t="s">
        <v>61</v>
      </c>
    </row>
    <row r="92" spans="1:15" x14ac:dyDescent="0.25">
      <c r="A92" t="s">
        <v>304</v>
      </c>
      <c r="B92" t="s">
        <v>305</v>
      </c>
      <c r="C92" t="s">
        <v>176</v>
      </c>
      <c r="D92" s="6">
        <v>46061</v>
      </c>
      <c r="E92" t="s">
        <v>41</v>
      </c>
      <c r="F92" t="s">
        <v>59</v>
      </c>
      <c r="G92" t="s">
        <v>81</v>
      </c>
      <c r="H92" t="s">
        <v>47</v>
      </c>
      <c r="I92">
        <v>2</v>
      </c>
      <c r="J92" s="11">
        <v>348871</v>
      </c>
      <c r="K92" s="11">
        <v>15000</v>
      </c>
      <c r="L92" t="s">
        <v>35</v>
      </c>
      <c r="M92" t="s">
        <v>67</v>
      </c>
      <c r="N92" t="s">
        <v>61</v>
      </c>
    </row>
    <row r="93" spans="1:15" x14ac:dyDescent="0.25">
      <c r="A93" t="s">
        <v>306</v>
      </c>
      <c r="B93" t="s">
        <v>216</v>
      </c>
      <c r="C93" t="s">
        <v>133</v>
      </c>
      <c r="D93" s="6">
        <v>46114</v>
      </c>
      <c r="E93" t="s">
        <v>31</v>
      </c>
      <c r="F93" t="s">
        <v>65</v>
      </c>
      <c r="G93" t="s">
        <v>33</v>
      </c>
      <c r="H93" t="s">
        <v>54</v>
      </c>
      <c r="I93">
        <v>4</v>
      </c>
      <c r="J93" s="11">
        <v>2472394</v>
      </c>
      <c r="K93" s="11">
        <v>35000</v>
      </c>
      <c r="L93" t="s">
        <v>35</v>
      </c>
      <c r="M93" t="s">
        <v>71</v>
      </c>
      <c r="N93" t="s">
        <v>61</v>
      </c>
    </row>
    <row r="94" spans="1:15" x14ac:dyDescent="0.25">
      <c r="A94" t="s">
        <v>307</v>
      </c>
      <c r="B94" t="s">
        <v>308</v>
      </c>
      <c r="C94" t="s">
        <v>309</v>
      </c>
      <c r="D94" s="6">
        <v>46095</v>
      </c>
      <c r="E94" t="s">
        <v>53</v>
      </c>
      <c r="F94" t="s">
        <v>42</v>
      </c>
      <c r="G94" t="s">
        <v>46</v>
      </c>
      <c r="H94" t="s">
        <v>54</v>
      </c>
      <c r="I94">
        <v>6</v>
      </c>
      <c r="J94" s="11">
        <v>877721</v>
      </c>
      <c r="K94" s="11">
        <v>15000</v>
      </c>
      <c r="L94" t="s">
        <v>35</v>
      </c>
      <c r="M94" t="s">
        <v>67</v>
      </c>
      <c r="N94" t="s">
        <v>61</v>
      </c>
    </row>
    <row r="95" spans="1:15" x14ac:dyDescent="0.25">
      <c r="A95" t="s">
        <v>310</v>
      </c>
      <c r="B95" t="s">
        <v>311</v>
      </c>
      <c r="C95" t="s">
        <v>312</v>
      </c>
      <c r="D95" s="6">
        <v>46042</v>
      </c>
      <c r="E95" t="s">
        <v>80</v>
      </c>
      <c r="F95" t="s">
        <v>65</v>
      </c>
      <c r="G95" t="s">
        <v>60</v>
      </c>
      <c r="H95" t="s">
        <v>66</v>
      </c>
      <c r="I95">
        <v>6</v>
      </c>
      <c r="J95" s="11">
        <v>1152459</v>
      </c>
      <c r="K95" s="11">
        <v>35000</v>
      </c>
      <c r="L95" t="s">
        <v>35</v>
      </c>
      <c r="M95" t="s">
        <v>67</v>
      </c>
      <c r="N95" t="s">
        <v>61</v>
      </c>
    </row>
    <row r="96" spans="1:15" x14ac:dyDescent="0.25">
      <c r="A96" t="s">
        <v>313</v>
      </c>
      <c r="B96" t="s">
        <v>314</v>
      </c>
      <c r="C96" t="s">
        <v>84</v>
      </c>
      <c r="D96" s="6">
        <v>46105</v>
      </c>
      <c r="E96" t="s">
        <v>41</v>
      </c>
      <c r="F96" t="s">
        <v>59</v>
      </c>
      <c r="G96" t="s">
        <v>75</v>
      </c>
      <c r="H96" t="s">
        <v>66</v>
      </c>
      <c r="I96">
        <v>1</v>
      </c>
      <c r="J96" s="11">
        <v>764981</v>
      </c>
      <c r="K96" s="11">
        <v>0</v>
      </c>
      <c r="L96" t="s">
        <v>35</v>
      </c>
      <c r="M96" t="s">
        <v>36</v>
      </c>
      <c r="N96" t="s">
        <v>61</v>
      </c>
      <c r="O96" t="s">
        <v>1377</v>
      </c>
    </row>
    <row r="97" spans="1:15" hidden="1" x14ac:dyDescent="0.25">
      <c r="A97" t="s">
        <v>315</v>
      </c>
      <c r="B97" t="s">
        <v>316</v>
      </c>
      <c r="C97" t="s">
        <v>224</v>
      </c>
      <c r="D97" s="6">
        <v>46034</v>
      </c>
      <c r="E97" t="s">
        <v>31</v>
      </c>
      <c r="F97" t="s">
        <v>42</v>
      </c>
      <c r="G97" t="s">
        <v>81</v>
      </c>
      <c r="H97" t="s">
        <v>66</v>
      </c>
      <c r="I97">
        <v>6</v>
      </c>
      <c r="J97" s="11">
        <v>2020447</v>
      </c>
      <c r="K97" s="11">
        <v>25000</v>
      </c>
      <c r="L97" t="s">
        <v>89</v>
      </c>
      <c r="M97" t="s">
        <v>49</v>
      </c>
      <c r="N97" t="s">
        <v>37</v>
      </c>
    </row>
    <row r="98" spans="1:15" x14ac:dyDescent="0.25">
      <c r="A98" t="s">
        <v>317</v>
      </c>
      <c r="B98" t="s">
        <v>318</v>
      </c>
      <c r="C98" t="s">
        <v>45</v>
      </c>
      <c r="D98" s="6">
        <v>46037</v>
      </c>
      <c r="E98" t="s">
        <v>31</v>
      </c>
      <c r="F98" t="s">
        <v>42</v>
      </c>
      <c r="G98" t="s">
        <v>60</v>
      </c>
      <c r="H98" t="s">
        <v>54</v>
      </c>
      <c r="J98" s="11">
        <v>416638</v>
      </c>
      <c r="K98" s="11">
        <v>50000</v>
      </c>
      <c r="L98" t="s">
        <v>35</v>
      </c>
      <c r="M98" t="s">
        <v>36</v>
      </c>
      <c r="N98" t="s">
        <v>61</v>
      </c>
      <c r="O98" t="s">
        <v>1376</v>
      </c>
    </row>
    <row r="99" spans="1:15" hidden="1" x14ac:dyDescent="0.25">
      <c r="A99" t="s">
        <v>320</v>
      </c>
      <c r="B99" t="s">
        <v>321</v>
      </c>
      <c r="C99" t="s">
        <v>92</v>
      </c>
      <c r="D99" s="6">
        <v>46076</v>
      </c>
      <c r="E99" t="s">
        <v>31</v>
      </c>
      <c r="F99" t="s">
        <v>65</v>
      </c>
      <c r="G99" t="s">
        <v>33</v>
      </c>
      <c r="H99" t="s">
        <v>47</v>
      </c>
      <c r="I99">
        <v>7</v>
      </c>
      <c r="J99" s="11">
        <v>803422</v>
      </c>
      <c r="K99" s="11">
        <v>35000</v>
      </c>
      <c r="L99" t="s">
        <v>35</v>
      </c>
      <c r="M99" t="s">
        <v>36</v>
      </c>
      <c r="N99" t="s">
        <v>37</v>
      </c>
    </row>
    <row r="100" spans="1:15" hidden="1" x14ac:dyDescent="0.25">
      <c r="A100" t="s">
        <v>322</v>
      </c>
      <c r="B100" t="s">
        <v>323</v>
      </c>
      <c r="C100" t="s">
        <v>263</v>
      </c>
      <c r="D100" s="6">
        <v>46102</v>
      </c>
      <c r="E100" t="s">
        <v>31</v>
      </c>
      <c r="F100" t="s">
        <v>59</v>
      </c>
      <c r="G100" t="s">
        <v>60</v>
      </c>
      <c r="H100" t="s">
        <v>47</v>
      </c>
      <c r="I100">
        <v>6</v>
      </c>
      <c r="J100" s="11">
        <v>670656</v>
      </c>
      <c r="K100" s="11">
        <v>25000</v>
      </c>
      <c r="L100" t="s">
        <v>35</v>
      </c>
      <c r="M100" t="s">
        <v>36</v>
      </c>
      <c r="N100" t="s">
        <v>37</v>
      </c>
    </row>
    <row r="101" spans="1:15" x14ac:dyDescent="0.25">
      <c r="A101" t="s">
        <v>324</v>
      </c>
      <c r="B101" t="s">
        <v>325</v>
      </c>
      <c r="C101" t="s">
        <v>158</v>
      </c>
      <c r="D101" s="6">
        <v>46167</v>
      </c>
      <c r="E101" t="s">
        <v>31</v>
      </c>
      <c r="F101" t="s">
        <v>59</v>
      </c>
      <c r="G101" t="s">
        <v>75</v>
      </c>
      <c r="H101" t="s">
        <v>47</v>
      </c>
      <c r="I101">
        <v>7</v>
      </c>
      <c r="J101" s="11">
        <v>1894486</v>
      </c>
      <c r="K101" s="11">
        <v>0</v>
      </c>
      <c r="L101" t="s">
        <v>35</v>
      </c>
      <c r="M101" t="s">
        <v>36</v>
      </c>
      <c r="N101" t="s">
        <v>61</v>
      </c>
      <c r="O101" t="s">
        <v>1377</v>
      </c>
    </row>
    <row r="102" spans="1:15" x14ac:dyDescent="0.25">
      <c r="A102" t="s">
        <v>326</v>
      </c>
      <c r="B102" t="s">
        <v>327</v>
      </c>
      <c r="C102" t="s">
        <v>328</v>
      </c>
      <c r="D102" s="6">
        <v>46154</v>
      </c>
      <c r="E102" t="s">
        <v>31</v>
      </c>
      <c r="F102" t="s">
        <v>59</v>
      </c>
      <c r="G102" t="s">
        <v>46</v>
      </c>
      <c r="H102" t="s">
        <v>76</v>
      </c>
      <c r="I102">
        <v>6</v>
      </c>
      <c r="J102" s="11">
        <v>1553381</v>
      </c>
      <c r="K102" s="11">
        <v>35000</v>
      </c>
      <c r="L102" t="s">
        <v>35</v>
      </c>
      <c r="M102" t="s">
        <v>36</v>
      </c>
      <c r="N102" t="s">
        <v>61</v>
      </c>
    </row>
    <row r="103" spans="1:15" hidden="1" x14ac:dyDescent="0.25">
      <c r="A103" t="s">
        <v>329</v>
      </c>
      <c r="B103" t="s">
        <v>330</v>
      </c>
      <c r="C103" t="s">
        <v>98</v>
      </c>
      <c r="D103" s="6">
        <v>46142</v>
      </c>
      <c r="E103" t="s">
        <v>31</v>
      </c>
      <c r="F103" t="s">
        <v>32</v>
      </c>
      <c r="G103" t="s">
        <v>85</v>
      </c>
      <c r="H103" t="s">
        <v>76</v>
      </c>
      <c r="I103">
        <v>7</v>
      </c>
      <c r="J103" s="11">
        <v>1954402</v>
      </c>
      <c r="K103" s="11">
        <v>0</v>
      </c>
      <c r="L103" t="s">
        <v>35</v>
      </c>
      <c r="M103" t="s">
        <v>67</v>
      </c>
      <c r="N103" t="s">
        <v>37</v>
      </c>
      <c r="O103" t="s">
        <v>1377</v>
      </c>
    </row>
    <row r="104" spans="1:15" hidden="1" x14ac:dyDescent="0.25">
      <c r="A104" t="s">
        <v>332</v>
      </c>
      <c r="B104" t="s">
        <v>333</v>
      </c>
      <c r="C104" t="s">
        <v>334</v>
      </c>
      <c r="D104" s="6">
        <v>46168</v>
      </c>
      <c r="E104" t="s">
        <v>53</v>
      </c>
      <c r="F104" t="s">
        <v>59</v>
      </c>
      <c r="G104" t="s">
        <v>60</v>
      </c>
      <c r="H104" t="s">
        <v>54</v>
      </c>
      <c r="I104">
        <v>1</v>
      </c>
      <c r="J104" s="11">
        <v>320186</v>
      </c>
      <c r="K104" s="11">
        <v>50000</v>
      </c>
      <c r="L104" t="s">
        <v>245</v>
      </c>
      <c r="M104" t="s">
        <v>36</v>
      </c>
      <c r="N104" t="s">
        <v>37</v>
      </c>
    </row>
    <row r="105" spans="1:15" x14ac:dyDescent="0.25">
      <c r="A105" t="s">
        <v>335</v>
      </c>
      <c r="B105" t="s">
        <v>336</v>
      </c>
      <c r="C105" t="s">
        <v>253</v>
      </c>
      <c r="D105" s="6">
        <v>46168</v>
      </c>
      <c r="E105" t="s">
        <v>58</v>
      </c>
      <c r="F105" t="s">
        <v>65</v>
      </c>
      <c r="G105" t="s">
        <v>75</v>
      </c>
      <c r="H105" t="s">
        <v>47</v>
      </c>
      <c r="I105">
        <v>3</v>
      </c>
      <c r="J105" s="11">
        <v>1182754</v>
      </c>
      <c r="K105" s="11">
        <v>25000</v>
      </c>
      <c r="L105" t="s">
        <v>35</v>
      </c>
      <c r="M105" t="s">
        <v>36</v>
      </c>
      <c r="N105" t="s">
        <v>61</v>
      </c>
    </row>
    <row r="106" spans="1:15" hidden="1" x14ac:dyDescent="0.25">
      <c r="A106" t="s">
        <v>339</v>
      </c>
      <c r="B106" t="s">
        <v>78</v>
      </c>
      <c r="C106" t="s">
        <v>79</v>
      </c>
      <c r="D106" s="6">
        <v>46069</v>
      </c>
      <c r="E106" t="s">
        <v>80</v>
      </c>
      <c r="F106" t="s">
        <v>59</v>
      </c>
      <c r="G106" t="s">
        <v>75</v>
      </c>
      <c r="H106" t="s">
        <v>47</v>
      </c>
      <c r="I106">
        <v>1</v>
      </c>
      <c r="J106" s="11">
        <v>1768182</v>
      </c>
      <c r="K106" s="11">
        <v>0</v>
      </c>
      <c r="L106" t="s">
        <v>35</v>
      </c>
      <c r="M106" t="s">
        <v>36</v>
      </c>
      <c r="N106" t="s">
        <v>37</v>
      </c>
      <c r="O106" t="s">
        <v>1377</v>
      </c>
    </row>
    <row r="107" spans="1:15" x14ac:dyDescent="0.25">
      <c r="A107" t="s">
        <v>340</v>
      </c>
      <c r="B107" t="s">
        <v>341</v>
      </c>
      <c r="C107" t="s">
        <v>342</v>
      </c>
      <c r="D107" s="6">
        <v>46070</v>
      </c>
      <c r="E107" t="s">
        <v>58</v>
      </c>
      <c r="F107" t="s">
        <v>59</v>
      </c>
      <c r="G107" t="s">
        <v>46</v>
      </c>
      <c r="H107" t="s">
        <v>54</v>
      </c>
      <c r="I107">
        <v>1</v>
      </c>
      <c r="J107" s="11">
        <v>1005284</v>
      </c>
      <c r="K107" s="11">
        <v>15000</v>
      </c>
      <c r="L107" t="s">
        <v>35</v>
      </c>
      <c r="M107" t="s">
        <v>36</v>
      </c>
      <c r="N107" t="s">
        <v>61</v>
      </c>
    </row>
    <row r="108" spans="1:15" hidden="1" x14ac:dyDescent="0.25">
      <c r="A108" t="s">
        <v>343</v>
      </c>
      <c r="B108" t="s">
        <v>344</v>
      </c>
      <c r="C108" t="s">
        <v>119</v>
      </c>
      <c r="D108" s="6">
        <v>46052</v>
      </c>
      <c r="E108" t="s">
        <v>53</v>
      </c>
      <c r="F108" t="s">
        <v>59</v>
      </c>
      <c r="G108" t="s">
        <v>33</v>
      </c>
      <c r="H108" t="s">
        <v>76</v>
      </c>
      <c r="I108">
        <v>6</v>
      </c>
      <c r="J108" s="11">
        <v>175803</v>
      </c>
      <c r="K108" s="11">
        <v>15000</v>
      </c>
      <c r="L108" t="s">
        <v>35</v>
      </c>
      <c r="M108" t="s">
        <v>36</v>
      </c>
      <c r="N108" t="s">
        <v>37</v>
      </c>
    </row>
    <row r="109" spans="1:15" x14ac:dyDescent="0.25">
      <c r="A109" t="s">
        <v>345</v>
      </c>
      <c r="B109" t="s">
        <v>118</v>
      </c>
      <c r="C109" t="s">
        <v>119</v>
      </c>
      <c r="D109" s="6">
        <v>46195</v>
      </c>
      <c r="E109" t="s">
        <v>58</v>
      </c>
      <c r="F109" t="s">
        <v>65</v>
      </c>
      <c r="G109" t="s">
        <v>75</v>
      </c>
      <c r="H109" t="s">
        <v>34</v>
      </c>
      <c r="I109">
        <v>1</v>
      </c>
      <c r="J109" s="11">
        <v>1776738</v>
      </c>
      <c r="K109" s="11">
        <v>25000</v>
      </c>
      <c r="L109" t="s">
        <v>35</v>
      </c>
      <c r="M109" t="s">
        <v>67</v>
      </c>
      <c r="N109" t="s">
        <v>61</v>
      </c>
    </row>
    <row r="110" spans="1:15" hidden="1" x14ac:dyDescent="0.25">
      <c r="A110" t="s">
        <v>346</v>
      </c>
      <c r="B110" t="s">
        <v>347</v>
      </c>
      <c r="C110" t="s">
        <v>276</v>
      </c>
      <c r="D110" s="6">
        <v>46146</v>
      </c>
      <c r="E110" t="s">
        <v>58</v>
      </c>
      <c r="F110" t="s">
        <v>32</v>
      </c>
      <c r="G110" t="s">
        <v>60</v>
      </c>
      <c r="H110" t="s">
        <v>34</v>
      </c>
      <c r="I110">
        <v>4</v>
      </c>
      <c r="J110" s="11">
        <v>728820</v>
      </c>
      <c r="K110" s="11">
        <v>15000</v>
      </c>
      <c r="L110" t="s">
        <v>48</v>
      </c>
      <c r="M110" t="s">
        <v>71</v>
      </c>
      <c r="N110" t="s">
        <v>37</v>
      </c>
    </row>
    <row r="111" spans="1:15" x14ac:dyDescent="0.25">
      <c r="A111" t="s">
        <v>350</v>
      </c>
      <c r="B111" t="s">
        <v>169</v>
      </c>
      <c r="C111" t="s">
        <v>170</v>
      </c>
      <c r="D111" s="6">
        <v>46028</v>
      </c>
      <c r="E111" t="s">
        <v>41</v>
      </c>
      <c r="F111" t="s">
        <v>59</v>
      </c>
      <c r="G111" t="s">
        <v>81</v>
      </c>
      <c r="H111" t="s">
        <v>47</v>
      </c>
      <c r="I111">
        <v>2</v>
      </c>
      <c r="J111" s="11">
        <v>608463</v>
      </c>
      <c r="K111" s="11">
        <v>15000</v>
      </c>
      <c r="L111" t="s">
        <v>35</v>
      </c>
      <c r="M111" t="s">
        <v>36</v>
      </c>
      <c r="N111" t="s">
        <v>61</v>
      </c>
    </row>
    <row r="112" spans="1:15" hidden="1" x14ac:dyDescent="0.25">
      <c r="A112" t="s">
        <v>352</v>
      </c>
      <c r="B112" t="s">
        <v>240</v>
      </c>
      <c r="C112" t="s">
        <v>241</v>
      </c>
      <c r="D112" s="6">
        <v>46098</v>
      </c>
      <c r="E112" t="s">
        <v>41</v>
      </c>
      <c r="F112" t="s">
        <v>59</v>
      </c>
      <c r="G112" t="s">
        <v>60</v>
      </c>
      <c r="H112" t="s">
        <v>76</v>
      </c>
      <c r="I112">
        <v>3</v>
      </c>
      <c r="J112" s="11">
        <v>1763048</v>
      </c>
      <c r="K112" s="11">
        <v>0</v>
      </c>
      <c r="L112" t="s">
        <v>35</v>
      </c>
      <c r="M112" t="s">
        <v>36</v>
      </c>
      <c r="N112" t="s">
        <v>37</v>
      </c>
      <c r="O112" t="s">
        <v>1377</v>
      </c>
    </row>
    <row r="113" spans="1:15" x14ac:dyDescent="0.25">
      <c r="A113" t="s">
        <v>354</v>
      </c>
      <c r="B113" t="s">
        <v>355</v>
      </c>
      <c r="C113" t="s">
        <v>266</v>
      </c>
      <c r="D113" s="6">
        <v>46147</v>
      </c>
      <c r="E113" t="s">
        <v>41</v>
      </c>
      <c r="F113" t="s">
        <v>42</v>
      </c>
      <c r="G113" t="s">
        <v>75</v>
      </c>
      <c r="H113" t="s">
        <v>54</v>
      </c>
      <c r="I113">
        <v>5</v>
      </c>
      <c r="J113" s="11">
        <v>1796380</v>
      </c>
      <c r="K113" s="11">
        <v>35000</v>
      </c>
      <c r="L113" t="s">
        <v>35</v>
      </c>
      <c r="M113" t="s">
        <v>36</v>
      </c>
      <c r="N113" t="s">
        <v>61</v>
      </c>
    </row>
    <row r="114" spans="1:15" hidden="1" x14ac:dyDescent="0.25">
      <c r="A114" t="s">
        <v>356</v>
      </c>
      <c r="B114" t="s">
        <v>169</v>
      </c>
      <c r="C114" t="s">
        <v>170</v>
      </c>
      <c r="D114" s="6">
        <v>46170</v>
      </c>
      <c r="E114" t="s">
        <v>41</v>
      </c>
      <c r="F114" t="s">
        <v>65</v>
      </c>
      <c r="G114" t="s">
        <v>60</v>
      </c>
      <c r="H114" t="s">
        <v>76</v>
      </c>
      <c r="I114">
        <v>1</v>
      </c>
      <c r="J114" s="11">
        <v>1444771</v>
      </c>
      <c r="K114" s="11">
        <v>50000</v>
      </c>
      <c r="L114" t="s">
        <v>35</v>
      </c>
      <c r="M114" t="s">
        <v>36</v>
      </c>
      <c r="N114" t="s">
        <v>37</v>
      </c>
    </row>
    <row r="115" spans="1:15" x14ac:dyDescent="0.25">
      <c r="A115" t="s">
        <v>357</v>
      </c>
      <c r="B115" t="s">
        <v>113</v>
      </c>
      <c r="C115" t="s">
        <v>114</v>
      </c>
      <c r="D115" s="6">
        <v>46201</v>
      </c>
      <c r="E115" t="s">
        <v>80</v>
      </c>
      <c r="F115" t="s">
        <v>59</v>
      </c>
      <c r="G115" t="s">
        <v>85</v>
      </c>
      <c r="H115" t="s">
        <v>76</v>
      </c>
      <c r="I115">
        <v>2</v>
      </c>
      <c r="J115" s="11">
        <v>1949681</v>
      </c>
      <c r="K115" s="11">
        <v>0</v>
      </c>
      <c r="L115" t="s">
        <v>35</v>
      </c>
      <c r="M115" t="s">
        <v>67</v>
      </c>
      <c r="N115" t="s">
        <v>61</v>
      </c>
      <c r="O115" t="s">
        <v>1377</v>
      </c>
    </row>
    <row r="116" spans="1:15" hidden="1" x14ac:dyDescent="0.25">
      <c r="A116" t="s">
        <v>359</v>
      </c>
      <c r="B116" t="s">
        <v>228</v>
      </c>
      <c r="C116" t="s">
        <v>229</v>
      </c>
      <c r="D116" s="6">
        <v>46198</v>
      </c>
      <c r="E116" t="s">
        <v>80</v>
      </c>
      <c r="F116" t="s">
        <v>59</v>
      </c>
      <c r="G116" t="s">
        <v>60</v>
      </c>
      <c r="H116" t="s">
        <v>66</v>
      </c>
      <c r="I116">
        <v>7</v>
      </c>
      <c r="J116" s="11">
        <v>1542510</v>
      </c>
      <c r="K116" s="11">
        <v>50000</v>
      </c>
      <c r="L116" t="s">
        <v>48</v>
      </c>
      <c r="M116" t="s">
        <v>36</v>
      </c>
      <c r="N116" t="s">
        <v>37</v>
      </c>
    </row>
    <row r="117" spans="1:15" hidden="1" x14ac:dyDescent="0.25">
      <c r="A117" t="s">
        <v>360</v>
      </c>
      <c r="B117" t="s">
        <v>318</v>
      </c>
      <c r="C117" t="s">
        <v>45</v>
      </c>
      <c r="D117" s="6">
        <v>46064</v>
      </c>
      <c r="E117" t="s">
        <v>31</v>
      </c>
      <c r="F117" t="s">
        <v>42</v>
      </c>
      <c r="G117" t="s">
        <v>85</v>
      </c>
      <c r="H117" t="s">
        <v>34</v>
      </c>
      <c r="I117">
        <v>6</v>
      </c>
      <c r="J117" s="11">
        <v>989095</v>
      </c>
      <c r="K117" s="11">
        <v>25000</v>
      </c>
      <c r="L117" t="s">
        <v>35</v>
      </c>
      <c r="M117" t="s">
        <v>36</v>
      </c>
      <c r="N117" t="s">
        <v>37</v>
      </c>
    </row>
    <row r="118" spans="1:15" x14ac:dyDescent="0.25">
      <c r="A118" t="s">
        <v>362</v>
      </c>
      <c r="B118" t="s">
        <v>207</v>
      </c>
      <c r="C118" t="s">
        <v>208</v>
      </c>
      <c r="D118" s="6">
        <v>46129</v>
      </c>
      <c r="E118" t="s">
        <v>58</v>
      </c>
      <c r="F118" t="s">
        <v>32</v>
      </c>
      <c r="G118" t="s">
        <v>33</v>
      </c>
      <c r="H118" t="s">
        <v>66</v>
      </c>
      <c r="I118">
        <v>2</v>
      </c>
      <c r="J118" s="11">
        <v>2190833</v>
      </c>
      <c r="K118" s="11">
        <v>25000</v>
      </c>
      <c r="L118" t="s">
        <v>35</v>
      </c>
      <c r="M118" t="s">
        <v>67</v>
      </c>
      <c r="N118" t="s">
        <v>61</v>
      </c>
    </row>
    <row r="119" spans="1:15" hidden="1" x14ac:dyDescent="0.25">
      <c r="A119" t="s">
        <v>363</v>
      </c>
      <c r="B119" t="s">
        <v>364</v>
      </c>
      <c r="C119" t="s">
        <v>70</v>
      </c>
      <c r="D119" s="6">
        <v>46151</v>
      </c>
      <c r="E119" t="s">
        <v>58</v>
      </c>
      <c r="F119" t="s">
        <v>42</v>
      </c>
      <c r="G119" t="s">
        <v>60</v>
      </c>
      <c r="H119" t="s">
        <v>66</v>
      </c>
      <c r="I119">
        <v>3</v>
      </c>
      <c r="J119" s="11">
        <v>254091</v>
      </c>
      <c r="K119" s="11">
        <v>0</v>
      </c>
      <c r="L119" t="s">
        <v>35</v>
      </c>
      <c r="M119" t="s">
        <v>36</v>
      </c>
      <c r="N119" t="s">
        <v>37</v>
      </c>
      <c r="O119" t="s">
        <v>1377</v>
      </c>
    </row>
    <row r="120" spans="1:15" hidden="1" x14ac:dyDescent="0.25">
      <c r="A120" t="s">
        <v>365</v>
      </c>
      <c r="B120" t="s">
        <v>366</v>
      </c>
      <c r="C120" t="s">
        <v>266</v>
      </c>
      <c r="D120" s="6">
        <v>46113</v>
      </c>
      <c r="E120" t="s">
        <v>53</v>
      </c>
      <c r="F120" t="s">
        <v>65</v>
      </c>
      <c r="G120" t="s">
        <v>75</v>
      </c>
      <c r="H120" t="s">
        <v>54</v>
      </c>
      <c r="I120">
        <v>3</v>
      </c>
      <c r="J120" s="11">
        <v>315774</v>
      </c>
      <c r="K120" s="11">
        <v>50000</v>
      </c>
      <c r="L120" t="s">
        <v>48</v>
      </c>
      <c r="M120" t="s">
        <v>49</v>
      </c>
      <c r="N120" t="s">
        <v>37</v>
      </c>
    </row>
    <row r="121" spans="1:15" x14ac:dyDescent="0.25">
      <c r="A121" t="s">
        <v>367</v>
      </c>
      <c r="B121" t="s">
        <v>318</v>
      </c>
      <c r="C121" t="s">
        <v>45</v>
      </c>
      <c r="D121" s="6">
        <v>46140</v>
      </c>
      <c r="E121" t="s">
        <v>58</v>
      </c>
      <c r="F121" t="s">
        <v>65</v>
      </c>
      <c r="G121" t="s">
        <v>46</v>
      </c>
      <c r="H121" t="s">
        <v>54</v>
      </c>
      <c r="I121">
        <v>7</v>
      </c>
      <c r="J121" s="11">
        <v>585277</v>
      </c>
      <c r="K121" s="11">
        <v>0</v>
      </c>
      <c r="L121" t="s">
        <v>35</v>
      </c>
      <c r="M121" t="s">
        <v>71</v>
      </c>
      <c r="N121" t="s">
        <v>61</v>
      </c>
      <c r="O121" t="s">
        <v>1377</v>
      </c>
    </row>
    <row r="122" spans="1:15" x14ac:dyDescent="0.25">
      <c r="A122" t="s">
        <v>368</v>
      </c>
      <c r="B122" t="s">
        <v>369</v>
      </c>
      <c r="C122" t="s">
        <v>370</v>
      </c>
      <c r="D122" s="6">
        <v>46053</v>
      </c>
      <c r="E122" t="s">
        <v>53</v>
      </c>
      <c r="F122" t="s">
        <v>59</v>
      </c>
      <c r="G122" t="s">
        <v>75</v>
      </c>
      <c r="H122" t="s">
        <v>54</v>
      </c>
      <c r="I122">
        <v>2</v>
      </c>
      <c r="J122" s="11">
        <v>981452</v>
      </c>
      <c r="K122" s="11">
        <v>25000</v>
      </c>
      <c r="L122" t="s">
        <v>35</v>
      </c>
      <c r="M122" t="s">
        <v>36</v>
      </c>
      <c r="N122" t="s">
        <v>61</v>
      </c>
    </row>
    <row r="123" spans="1:15" hidden="1" x14ac:dyDescent="0.25">
      <c r="A123" t="s">
        <v>371</v>
      </c>
      <c r="B123" t="s">
        <v>372</v>
      </c>
      <c r="C123" t="s">
        <v>724</v>
      </c>
      <c r="D123" s="6">
        <v>46116</v>
      </c>
      <c r="E123" t="s">
        <v>58</v>
      </c>
      <c r="F123" t="s">
        <v>42</v>
      </c>
      <c r="G123" t="s">
        <v>60</v>
      </c>
      <c r="H123" t="s">
        <v>66</v>
      </c>
      <c r="I123">
        <v>1</v>
      </c>
      <c r="J123" s="11">
        <v>1523445</v>
      </c>
      <c r="K123" s="11">
        <v>15000</v>
      </c>
      <c r="L123" t="s">
        <v>48</v>
      </c>
      <c r="M123" t="s">
        <v>71</v>
      </c>
      <c r="N123" t="s">
        <v>37</v>
      </c>
    </row>
    <row r="124" spans="1:15" x14ac:dyDescent="0.25">
      <c r="A124" t="s">
        <v>374</v>
      </c>
      <c r="B124" t="s">
        <v>179</v>
      </c>
      <c r="C124" t="s">
        <v>180</v>
      </c>
      <c r="D124" s="6">
        <v>46066</v>
      </c>
      <c r="E124" t="s">
        <v>31</v>
      </c>
      <c r="F124" t="s">
        <v>42</v>
      </c>
      <c r="G124" t="s">
        <v>46</v>
      </c>
      <c r="H124" t="s">
        <v>47</v>
      </c>
      <c r="I124">
        <v>3</v>
      </c>
      <c r="J124" s="11">
        <v>477496</v>
      </c>
      <c r="K124" s="11">
        <v>25000</v>
      </c>
      <c r="L124" t="s">
        <v>35</v>
      </c>
      <c r="M124" t="s">
        <v>36</v>
      </c>
      <c r="N124" t="s">
        <v>61</v>
      </c>
    </row>
    <row r="125" spans="1:15" x14ac:dyDescent="0.25">
      <c r="A125" t="s">
        <v>375</v>
      </c>
      <c r="B125" t="s">
        <v>376</v>
      </c>
      <c r="C125" t="s">
        <v>377</v>
      </c>
      <c r="D125" s="6">
        <v>46132</v>
      </c>
      <c r="E125" t="s">
        <v>58</v>
      </c>
      <c r="F125" t="s">
        <v>59</v>
      </c>
      <c r="G125" t="s">
        <v>85</v>
      </c>
      <c r="H125" t="s">
        <v>54</v>
      </c>
      <c r="I125">
        <v>4</v>
      </c>
      <c r="J125" s="11">
        <v>1853964</v>
      </c>
      <c r="K125" s="11">
        <v>35000</v>
      </c>
      <c r="L125" t="s">
        <v>89</v>
      </c>
      <c r="M125" t="s">
        <v>71</v>
      </c>
      <c r="N125" t="s">
        <v>61</v>
      </c>
    </row>
    <row r="126" spans="1:15" hidden="1" x14ac:dyDescent="0.25">
      <c r="A126" t="s">
        <v>378</v>
      </c>
      <c r="B126" t="s">
        <v>379</v>
      </c>
      <c r="C126" t="s">
        <v>158</v>
      </c>
      <c r="D126" s="6">
        <v>46109</v>
      </c>
      <c r="E126" t="s">
        <v>58</v>
      </c>
      <c r="F126" t="s">
        <v>42</v>
      </c>
      <c r="G126" t="s">
        <v>46</v>
      </c>
      <c r="H126" t="s">
        <v>54</v>
      </c>
      <c r="I126">
        <v>7</v>
      </c>
      <c r="J126" s="11">
        <v>1440386</v>
      </c>
      <c r="K126" s="11">
        <v>35000</v>
      </c>
      <c r="L126" t="s">
        <v>35</v>
      </c>
      <c r="M126" t="s">
        <v>67</v>
      </c>
      <c r="N126" t="s">
        <v>37</v>
      </c>
    </row>
    <row r="127" spans="1:15" x14ac:dyDescent="0.25">
      <c r="A127" t="s">
        <v>380</v>
      </c>
      <c r="B127" t="s">
        <v>381</v>
      </c>
      <c r="C127" t="s">
        <v>382</v>
      </c>
      <c r="D127" s="6">
        <v>46125</v>
      </c>
      <c r="E127" t="s">
        <v>58</v>
      </c>
      <c r="F127" t="s">
        <v>32</v>
      </c>
      <c r="G127" t="s">
        <v>46</v>
      </c>
      <c r="H127" t="s">
        <v>76</v>
      </c>
      <c r="I127">
        <v>6</v>
      </c>
      <c r="J127" s="11">
        <v>2442010</v>
      </c>
      <c r="K127" s="11">
        <v>25000</v>
      </c>
      <c r="L127" t="s">
        <v>35</v>
      </c>
      <c r="M127" t="s">
        <v>71</v>
      </c>
      <c r="N127" t="s">
        <v>61</v>
      </c>
    </row>
    <row r="128" spans="1:15" x14ac:dyDescent="0.25">
      <c r="A128" t="s">
        <v>383</v>
      </c>
      <c r="B128" t="s">
        <v>384</v>
      </c>
      <c r="C128" t="s">
        <v>385</v>
      </c>
      <c r="D128" s="6">
        <v>46126</v>
      </c>
      <c r="E128" t="s">
        <v>41</v>
      </c>
      <c r="F128" t="s">
        <v>32</v>
      </c>
      <c r="G128" t="s">
        <v>75</v>
      </c>
      <c r="H128" t="s">
        <v>47</v>
      </c>
      <c r="I128">
        <v>5</v>
      </c>
      <c r="J128" s="11"/>
      <c r="K128" s="11">
        <v>15000</v>
      </c>
      <c r="L128" t="s">
        <v>35</v>
      </c>
      <c r="M128" t="s">
        <v>36</v>
      </c>
      <c r="N128" t="s">
        <v>61</v>
      </c>
      <c r="O128" t="s">
        <v>1374</v>
      </c>
    </row>
    <row r="129" spans="1:15" hidden="1" x14ac:dyDescent="0.25">
      <c r="A129" t="s">
        <v>386</v>
      </c>
      <c r="B129" t="s">
        <v>387</v>
      </c>
      <c r="C129" t="s">
        <v>388</v>
      </c>
      <c r="D129" s="6">
        <v>46100</v>
      </c>
      <c r="E129" t="s">
        <v>31</v>
      </c>
      <c r="F129" t="s">
        <v>32</v>
      </c>
      <c r="G129" t="s">
        <v>85</v>
      </c>
      <c r="H129" t="s">
        <v>54</v>
      </c>
      <c r="I129">
        <v>5</v>
      </c>
      <c r="J129" s="11">
        <v>473499</v>
      </c>
      <c r="K129" s="11">
        <v>0</v>
      </c>
      <c r="L129" t="s">
        <v>35</v>
      </c>
      <c r="M129" t="s">
        <v>36</v>
      </c>
      <c r="N129" t="s">
        <v>37</v>
      </c>
      <c r="O129" t="s">
        <v>1377</v>
      </c>
    </row>
    <row r="130" spans="1:15" x14ac:dyDescent="0.25">
      <c r="A130" t="s">
        <v>389</v>
      </c>
      <c r="B130" t="s">
        <v>262</v>
      </c>
      <c r="C130" t="s">
        <v>263</v>
      </c>
      <c r="D130" s="6">
        <v>46110</v>
      </c>
      <c r="E130" t="s">
        <v>80</v>
      </c>
      <c r="F130" t="s">
        <v>59</v>
      </c>
      <c r="G130" t="s">
        <v>46</v>
      </c>
      <c r="H130" t="s">
        <v>54</v>
      </c>
      <c r="I130">
        <v>1</v>
      </c>
      <c r="J130" s="11">
        <v>791203</v>
      </c>
      <c r="K130" s="11">
        <v>0</v>
      </c>
      <c r="L130" t="s">
        <v>48</v>
      </c>
      <c r="M130" t="s">
        <v>36</v>
      </c>
      <c r="N130" t="s">
        <v>61</v>
      </c>
      <c r="O130" t="s">
        <v>1377</v>
      </c>
    </row>
    <row r="131" spans="1:15" x14ac:dyDescent="0.25">
      <c r="A131" t="s">
        <v>391</v>
      </c>
      <c r="B131" t="s">
        <v>392</v>
      </c>
      <c r="C131" t="s">
        <v>393</v>
      </c>
      <c r="D131" s="6">
        <v>46118</v>
      </c>
      <c r="E131" t="s">
        <v>58</v>
      </c>
      <c r="F131" t="s">
        <v>59</v>
      </c>
      <c r="G131" t="s">
        <v>33</v>
      </c>
      <c r="H131" t="s">
        <v>76</v>
      </c>
      <c r="I131">
        <v>3</v>
      </c>
      <c r="J131" s="11">
        <v>1209497</v>
      </c>
      <c r="K131" s="11">
        <v>50000</v>
      </c>
      <c r="L131" t="s">
        <v>35</v>
      </c>
      <c r="M131" t="s">
        <v>36</v>
      </c>
      <c r="N131" t="s">
        <v>61</v>
      </c>
    </row>
    <row r="132" spans="1:15" hidden="1" x14ac:dyDescent="0.25">
      <c r="A132" t="s">
        <v>394</v>
      </c>
      <c r="B132" t="s">
        <v>279</v>
      </c>
      <c r="C132" t="s">
        <v>111</v>
      </c>
      <c r="D132" s="6">
        <v>46109</v>
      </c>
      <c r="E132" t="s">
        <v>53</v>
      </c>
      <c r="F132" t="s">
        <v>42</v>
      </c>
      <c r="G132" t="s">
        <v>33</v>
      </c>
      <c r="H132" t="s">
        <v>66</v>
      </c>
      <c r="I132">
        <v>5</v>
      </c>
      <c r="J132" s="11">
        <v>1110263</v>
      </c>
      <c r="K132" s="11">
        <v>50000</v>
      </c>
      <c r="L132" t="s">
        <v>35</v>
      </c>
      <c r="M132" t="s">
        <v>49</v>
      </c>
      <c r="N132" t="s">
        <v>37</v>
      </c>
    </row>
    <row r="133" spans="1:15" x14ac:dyDescent="0.25">
      <c r="A133" t="s">
        <v>395</v>
      </c>
      <c r="B133" t="s">
        <v>396</v>
      </c>
      <c r="C133" t="s">
        <v>241</v>
      </c>
      <c r="D133" s="6">
        <v>46169</v>
      </c>
      <c r="E133" t="s">
        <v>53</v>
      </c>
      <c r="F133" t="s">
        <v>42</v>
      </c>
      <c r="G133" t="s">
        <v>33</v>
      </c>
      <c r="H133" t="s">
        <v>47</v>
      </c>
      <c r="I133">
        <v>5</v>
      </c>
      <c r="J133" s="11">
        <v>707082</v>
      </c>
      <c r="K133" s="11">
        <v>35000</v>
      </c>
      <c r="L133" t="s">
        <v>35</v>
      </c>
      <c r="M133" t="s">
        <v>67</v>
      </c>
      <c r="N133" t="s">
        <v>61</v>
      </c>
    </row>
    <row r="134" spans="1:15" hidden="1" x14ac:dyDescent="0.25">
      <c r="A134" t="s">
        <v>397</v>
      </c>
      <c r="B134" t="s">
        <v>128</v>
      </c>
      <c r="C134" t="s">
        <v>129</v>
      </c>
      <c r="D134" s="6">
        <v>46131</v>
      </c>
      <c r="E134" t="s">
        <v>41</v>
      </c>
      <c r="F134" t="s">
        <v>42</v>
      </c>
      <c r="G134" t="s">
        <v>60</v>
      </c>
      <c r="H134" t="s">
        <v>54</v>
      </c>
      <c r="I134">
        <v>1</v>
      </c>
      <c r="J134" s="11">
        <v>1848275</v>
      </c>
      <c r="K134" s="11">
        <v>0</v>
      </c>
      <c r="L134" t="s">
        <v>35</v>
      </c>
      <c r="M134" t="s">
        <v>71</v>
      </c>
      <c r="N134" t="s">
        <v>37</v>
      </c>
      <c r="O134" t="s">
        <v>1377</v>
      </c>
    </row>
    <row r="135" spans="1:15" hidden="1" x14ac:dyDescent="0.25">
      <c r="A135" t="s">
        <v>398</v>
      </c>
      <c r="B135" t="s">
        <v>399</v>
      </c>
      <c r="C135" t="s">
        <v>111</v>
      </c>
      <c r="D135" s="6">
        <v>46157</v>
      </c>
      <c r="E135" t="s">
        <v>80</v>
      </c>
      <c r="F135" t="s">
        <v>59</v>
      </c>
      <c r="G135" t="s">
        <v>75</v>
      </c>
      <c r="H135" t="s">
        <v>47</v>
      </c>
      <c r="I135">
        <v>5</v>
      </c>
      <c r="J135" s="11">
        <v>1809271</v>
      </c>
      <c r="K135" s="11">
        <v>50000</v>
      </c>
      <c r="L135" t="s">
        <v>35</v>
      </c>
      <c r="M135" t="s">
        <v>36</v>
      </c>
      <c r="N135" t="s">
        <v>37</v>
      </c>
    </row>
    <row r="136" spans="1:15" x14ac:dyDescent="0.25">
      <c r="A136" t="s">
        <v>400</v>
      </c>
      <c r="B136" t="s">
        <v>118</v>
      </c>
      <c r="C136" t="s">
        <v>119</v>
      </c>
      <c r="D136" s="6">
        <v>46148</v>
      </c>
      <c r="E136" t="s">
        <v>41</v>
      </c>
      <c r="F136" t="s">
        <v>42</v>
      </c>
      <c r="G136" t="s">
        <v>75</v>
      </c>
      <c r="H136" t="s">
        <v>76</v>
      </c>
      <c r="I136">
        <v>2</v>
      </c>
      <c r="J136" s="11">
        <v>1868699</v>
      </c>
      <c r="K136" s="11">
        <v>15000</v>
      </c>
      <c r="L136" t="s">
        <v>35</v>
      </c>
      <c r="M136" t="s">
        <v>36</v>
      </c>
      <c r="N136" t="s">
        <v>61</v>
      </c>
    </row>
    <row r="137" spans="1:15" x14ac:dyDescent="0.25">
      <c r="A137" t="s">
        <v>401</v>
      </c>
      <c r="B137" t="s">
        <v>197</v>
      </c>
      <c r="C137" t="s">
        <v>198</v>
      </c>
      <c r="D137" s="6">
        <v>46077</v>
      </c>
      <c r="E137" t="s">
        <v>80</v>
      </c>
      <c r="F137" t="s">
        <v>65</v>
      </c>
      <c r="G137" t="s">
        <v>46</v>
      </c>
      <c r="H137" t="s">
        <v>47</v>
      </c>
      <c r="I137">
        <v>1</v>
      </c>
      <c r="J137" s="11">
        <v>2030221</v>
      </c>
      <c r="K137" s="11">
        <v>35000</v>
      </c>
      <c r="L137" t="s">
        <v>35</v>
      </c>
      <c r="M137" t="s">
        <v>49</v>
      </c>
      <c r="N137" t="s">
        <v>61</v>
      </c>
    </row>
    <row r="138" spans="1:15" x14ac:dyDescent="0.25">
      <c r="A138" t="s">
        <v>402</v>
      </c>
      <c r="B138" t="s">
        <v>146</v>
      </c>
      <c r="C138" t="s">
        <v>40</v>
      </c>
      <c r="D138" s="6">
        <v>46146</v>
      </c>
      <c r="E138" t="s">
        <v>80</v>
      </c>
      <c r="F138" t="s">
        <v>32</v>
      </c>
      <c r="G138" t="s">
        <v>33</v>
      </c>
      <c r="H138" t="s">
        <v>47</v>
      </c>
      <c r="I138">
        <v>5</v>
      </c>
      <c r="J138" s="11">
        <v>1334630</v>
      </c>
      <c r="K138" s="11">
        <v>0</v>
      </c>
      <c r="L138" t="s">
        <v>35</v>
      </c>
      <c r="M138" t="s">
        <v>36</v>
      </c>
      <c r="N138" t="s">
        <v>61</v>
      </c>
      <c r="O138" t="s">
        <v>1377</v>
      </c>
    </row>
    <row r="139" spans="1:15" x14ac:dyDescent="0.25">
      <c r="A139" t="s">
        <v>404</v>
      </c>
      <c r="B139" t="s">
        <v>405</v>
      </c>
      <c r="C139" t="s">
        <v>107</v>
      </c>
      <c r="D139" s="6">
        <v>46059</v>
      </c>
      <c r="E139" t="s">
        <v>80</v>
      </c>
      <c r="F139" t="s">
        <v>42</v>
      </c>
      <c r="G139" t="s">
        <v>85</v>
      </c>
      <c r="H139" t="s">
        <v>47</v>
      </c>
      <c r="I139">
        <v>4</v>
      </c>
      <c r="J139" s="11">
        <v>716177</v>
      </c>
      <c r="K139" s="11">
        <v>50000</v>
      </c>
      <c r="L139" t="s">
        <v>35</v>
      </c>
      <c r="M139" t="s">
        <v>71</v>
      </c>
      <c r="N139" t="s">
        <v>61</v>
      </c>
    </row>
    <row r="140" spans="1:15" hidden="1" x14ac:dyDescent="0.25">
      <c r="A140" t="s">
        <v>406</v>
      </c>
      <c r="B140" t="s">
        <v>407</v>
      </c>
      <c r="C140" t="s">
        <v>200</v>
      </c>
      <c r="D140" s="6">
        <v>46163</v>
      </c>
      <c r="E140" t="s">
        <v>80</v>
      </c>
      <c r="F140" t="s">
        <v>59</v>
      </c>
      <c r="G140" t="s">
        <v>33</v>
      </c>
      <c r="H140" t="s">
        <v>47</v>
      </c>
      <c r="I140">
        <v>7</v>
      </c>
      <c r="J140" s="11">
        <v>1582339</v>
      </c>
      <c r="K140" s="11">
        <v>0</v>
      </c>
      <c r="L140" t="s">
        <v>35</v>
      </c>
      <c r="M140" t="s">
        <v>36</v>
      </c>
      <c r="N140" t="s">
        <v>37</v>
      </c>
      <c r="O140" t="s">
        <v>1377</v>
      </c>
    </row>
    <row r="141" spans="1:15" x14ac:dyDescent="0.25">
      <c r="A141" t="s">
        <v>408</v>
      </c>
      <c r="B141" t="s">
        <v>187</v>
      </c>
      <c r="C141" t="s">
        <v>88</v>
      </c>
      <c r="D141" s="6">
        <v>46178</v>
      </c>
      <c r="E141" t="s">
        <v>41</v>
      </c>
      <c r="F141" t="s">
        <v>42</v>
      </c>
      <c r="G141" t="s">
        <v>75</v>
      </c>
      <c r="H141" t="s">
        <v>66</v>
      </c>
      <c r="I141">
        <v>5</v>
      </c>
      <c r="J141" s="11">
        <v>677043</v>
      </c>
      <c r="K141" s="11">
        <v>15000</v>
      </c>
      <c r="L141" t="s">
        <v>35</v>
      </c>
      <c r="M141" t="s">
        <v>36</v>
      </c>
      <c r="N141" t="s">
        <v>61</v>
      </c>
    </row>
    <row r="142" spans="1:15" x14ac:dyDescent="0.25">
      <c r="A142" t="s">
        <v>409</v>
      </c>
      <c r="B142" t="s">
        <v>318</v>
      </c>
      <c r="C142" t="s">
        <v>45</v>
      </c>
      <c r="D142" s="6">
        <v>46182</v>
      </c>
      <c r="E142" t="s">
        <v>58</v>
      </c>
      <c r="F142" t="s">
        <v>59</v>
      </c>
      <c r="G142" t="s">
        <v>75</v>
      </c>
      <c r="H142" t="s">
        <v>66</v>
      </c>
      <c r="I142">
        <v>2</v>
      </c>
      <c r="J142" s="11">
        <v>1838105</v>
      </c>
      <c r="K142" s="11">
        <v>35000</v>
      </c>
      <c r="L142" t="s">
        <v>245</v>
      </c>
      <c r="M142" t="s">
        <v>67</v>
      </c>
      <c r="N142" t="s">
        <v>61</v>
      </c>
    </row>
    <row r="143" spans="1:15" x14ac:dyDescent="0.25">
      <c r="A143" t="s">
        <v>410</v>
      </c>
      <c r="B143" t="s">
        <v>411</v>
      </c>
      <c r="C143" t="s">
        <v>244</v>
      </c>
      <c r="D143" s="6">
        <v>46065</v>
      </c>
      <c r="E143" t="s">
        <v>58</v>
      </c>
      <c r="F143" t="s">
        <v>65</v>
      </c>
      <c r="G143" t="s">
        <v>85</v>
      </c>
      <c r="H143" t="s">
        <v>76</v>
      </c>
      <c r="I143">
        <v>6</v>
      </c>
      <c r="J143" s="11">
        <v>224035</v>
      </c>
      <c r="K143" s="11">
        <v>50000</v>
      </c>
      <c r="L143" t="s">
        <v>48</v>
      </c>
      <c r="M143" t="s">
        <v>71</v>
      </c>
      <c r="N143" t="s">
        <v>61</v>
      </c>
    </row>
    <row r="144" spans="1:15" x14ac:dyDescent="0.25">
      <c r="A144" t="s">
        <v>412</v>
      </c>
      <c r="B144" t="s">
        <v>413</v>
      </c>
      <c r="C144" t="s">
        <v>122</v>
      </c>
      <c r="D144" s="6">
        <v>46156</v>
      </c>
      <c r="E144" t="s">
        <v>31</v>
      </c>
      <c r="F144" t="s">
        <v>65</v>
      </c>
      <c r="G144" t="s">
        <v>33</v>
      </c>
      <c r="H144" t="s">
        <v>34</v>
      </c>
      <c r="I144">
        <v>5</v>
      </c>
      <c r="J144" s="11">
        <v>914383</v>
      </c>
      <c r="K144" s="11">
        <v>35000</v>
      </c>
      <c r="L144" t="s">
        <v>48</v>
      </c>
      <c r="M144" t="s">
        <v>49</v>
      </c>
      <c r="N144" t="s">
        <v>61</v>
      </c>
    </row>
    <row r="145" spans="1:15" hidden="1" x14ac:dyDescent="0.25">
      <c r="A145" t="s">
        <v>414</v>
      </c>
      <c r="B145" t="s">
        <v>415</v>
      </c>
      <c r="C145" t="s">
        <v>141</v>
      </c>
      <c r="D145" s="6">
        <v>46203</v>
      </c>
      <c r="E145" t="s">
        <v>53</v>
      </c>
      <c r="F145" t="s">
        <v>65</v>
      </c>
      <c r="G145" t="s">
        <v>60</v>
      </c>
      <c r="H145" t="s">
        <v>54</v>
      </c>
      <c r="I145">
        <v>7</v>
      </c>
      <c r="J145" s="11">
        <v>1983233</v>
      </c>
      <c r="K145" s="11">
        <v>0</v>
      </c>
      <c r="L145" t="s">
        <v>35</v>
      </c>
      <c r="M145" t="s">
        <v>67</v>
      </c>
      <c r="N145" t="s">
        <v>37</v>
      </c>
      <c r="O145" t="s">
        <v>1377</v>
      </c>
    </row>
    <row r="146" spans="1:15" x14ac:dyDescent="0.25">
      <c r="A146" t="s">
        <v>416</v>
      </c>
      <c r="B146" t="s">
        <v>417</v>
      </c>
      <c r="C146" t="s">
        <v>70</v>
      </c>
      <c r="D146" s="6">
        <v>46069</v>
      </c>
      <c r="E146" t="s">
        <v>58</v>
      </c>
      <c r="F146" t="s">
        <v>65</v>
      </c>
      <c r="G146" t="s">
        <v>81</v>
      </c>
      <c r="H146" t="s">
        <v>76</v>
      </c>
      <c r="I146">
        <v>7</v>
      </c>
      <c r="J146" s="11">
        <v>1860369</v>
      </c>
      <c r="K146" s="11">
        <v>0</v>
      </c>
      <c r="L146" t="s">
        <v>35</v>
      </c>
      <c r="M146" t="s">
        <v>36</v>
      </c>
      <c r="N146" t="s">
        <v>61</v>
      </c>
      <c r="O146" t="s">
        <v>1377</v>
      </c>
    </row>
    <row r="147" spans="1:15" hidden="1" x14ac:dyDescent="0.25">
      <c r="A147" t="s">
        <v>418</v>
      </c>
      <c r="B147" t="s">
        <v>419</v>
      </c>
      <c r="C147" t="s">
        <v>190</v>
      </c>
      <c r="D147" s="6">
        <v>46059</v>
      </c>
      <c r="E147" t="s">
        <v>41</v>
      </c>
      <c r="F147" t="s">
        <v>42</v>
      </c>
      <c r="G147" t="s">
        <v>81</v>
      </c>
      <c r="H147" t="s">
        <v>76</v>
      </c>
      <c r="I147">
        <v>7</v>
      </c>
      <c r="J147" s="11">
        <v>886169</v>
      </c>
      <c r="K147" s="11">
        <v>25000</v>
      </c>
      <c r="L147" t="s">
        <v>35</v>
      </c>
      <c r="M147" t="s">
        <v>67</v>
      </c>
      <c r="N147" t="s">
        <v>37</v>
      </c>
    </row>
    <row r="148" spans="1:15" x14ac:dyDescent="0.25">
      <c r="A148" t="s">
        <v>420</v>
      </c>
      <c r="B148" t="s">
        <v>286</v>
      </c>
      <c r="C148" t="s">
        <v>45</v>
      </c>
      <c r="D148" s="6">
        <v>46029</v>
      </c>
      <c r="E148" t="s">
        <v>80</v>
      </c>
      <c r="F148" t="s">
        <v>32</v>
      </c>
      <c r="G148" t="s">
        <v>60</v>
      </c>
      <c r="H148" t="s">
        <v>54</v>
      </c>
      <c r="I148">
        <v>4</v>
      </c>
      <c r="J148" s="11">
        <v>365374</v>
      </c>
      <c r="K148" s="11">
        <v>25000</v>
      </c>
      <c r="L148" t="s">
        <v>35</v>
      </c>
      <c r="M148" t="s">
        <v>67</v>
      </c>
      <c r="N148" t="s">
        <v>61</v>
      </c>
    </row>
    <row r="149" spans="1:15" hidden="1" x14ac:dyDescent="0.25">
      <c r="A149" t="s">
        <v>421</v>
      </c>
      <c r="B149" t="s">
        <v>240</v>
      </c>
      <c r="C149" t="s">
        <v>241</v>
      </c>
      <c r="D149" s="6">
        <v>46084</v>
      </c>
      <c r="E149" t="s">
        <v>58</v>
      </c>
      <c r="F149" t="s">
        <v>32</v>
      </c>
      <c r="G149" t="s">
        <v>81</v>
      </c>
      <c r="H149" t="s">
        <v>66</v>
      </c>
      <c r="I149">
        <v>5</v>
      </c>
      <c r="J149" s="11">
        <v>1111915</v>
      </c>
      <c r="K149" s="11">
        <v>35000</v>
      </c>
      <c r="L149" t="s">
        <v>35</v>
      </c>
      <c r="M149" t="s">
        <v>36</v>
      </c>
      <c r="N149" t="s">
        <v>37</v>
      </c>
    </row>
    <row r="150" spans="1:15" x14ac:dyDescent="0.25">
      <c r="A150" t="s">
        <v>422</v>
      </c>
      <c r="B150" t="s">
        <v>140</v>
      </c>
      <c r="C150" t="s">
        <v>141</v>
      </c>
      <c r="D150" s="6">
        <v>46127</v>
      </c>
      <c r="E150" t="s">
        <v>58</v>
      </c>
      <c r="F150" t="s">
        <v>32</v>
      </c>
      <c r="G150" t="s">
        <v>46</v>
      </c>
      <c r="H150" t="s">
        <v>76</v>
      </c>
      <c r="I150">
        <v>1</v>
      </c>
      <c r="J150" s="11">
        <v>394551</v>
      </c>
      <c r="K150" s="11">
        <v>35000</v>
      </c>
      <c r="L150" t="s">
        <v>35</v>
      </c>
      <c r="M150" t="s">
        <v>67</v>
      </c>
      <c r="N150" t="s">
        <v>61</v>
      </c>
    </row>
    <row r="151" spans="1:15" x14ac:dyDescent="0.25">
      <c r="A151" t="s">
        <v>423</v>
      </c>
      <c r="B151" t="s">
        <v>424</v>
      </c>
      <c r="C151" t="s">
        <v>79</v>
      </c>
      <c r="D151" s="6">
        <v>46165</v>
      </c>
      <c r="E151" t="s">
        <v>53</v>
      </c>
      <c r="F151" t="s">
        <v>42</v>
      </c>
      <c r="G151" t="s">
        <v>85</v>
      </c>
      <c r="H151" t="s">
        <v>66</v>
      </c>
      <c r="I151">
        <v>5</v>
      </c>
      <c r="J151" s="11">
        <v>646684</v>
      </c>
      <c r="K151" s="11">
        <v>25000</v>
      </c>
      <c r="L151" t="s">
        <v>35</v>
      </c>
      <c r="M151" t="s">
        <v>67</v>
      </c>
      <c r="N151" t="s">
        <v>61</v>
      </c>
    </row>
    <row r="152" spans="1:15" x14ac:dyDescent="0.25">
      <c r="A152" t="s">
        <v>425</v>
      </c>
      <c r="B152" t="s">
        <v>366</v>
      </c>
      <c r="C152" t="s">
        <v>266</v>
      </c>
      <c r="D152" s="6">
        <v>46085</v>
      </c>
      <c r="E152" t="s">
        <v>41</v>
      </c>
      <c r="F152" t="s">
        <v>32</v>
      </c>
      <c r="G152" t="s">
        <v>75</v>
      </c>
      <c r="H152" t="s">
        <v>34</v>
      </c>
      <c r="I152">
        <v>5</v>
      </c>
      <c r="J152" s="11">
        <v>2374587</v>
      </c>
      <c r="K152" s="11">
        <v>35000</v>
      </c>
      <c r="L152" t="s">
        <v>35</v>
      </c>
      <c r="M152" t="s">
        <v>67</v>
      </c>
      <c r="N152" t="s">
        <v>61</v>
      </c>
    </row>
    <row r="153" spans="1:15" x14ac:dyDescent="0.25">
      <c r="A153" t="s">
        <v>426</v>
      </c>
      <c r="B153" t="s">
        <v>427</v>
      </c>
      <c r="C153" t="s">
        <v>388</v>
      </c>
      <c r="D153" s="6">
        <v>46146</v>
      </c>
      <c r="E153" t="s">
        <v>31</v>
      </c>
      <c r="F153" t="s">
        <v>32</v>
      </c>
      <c r="G153" t="s">
        <v>81</v>
      </c>
      <c r="H153" t="s">
        <v>34</v>
      </c>
      <c r="I153">
        <v>3</v>
      </c>
      <c r="J153" s="11">
        <v>1266315</v>
      </c>
      <c r="K153" s="11">
        <v>50000</v>
      </c>
      <c r="L153" t="s">
        <v>48</v>
      </c>
      <c r="M153" t="s">
        <v>71</v>
      </c>
      <c r="N153" t="s">
        <v>61</v>
      </c>
    </row>
    <row r="154" spans="1:15" hidden="1" x14ac:dyDescent="0.25">
      <c r="A154" t="s">
        <v>428</v>
      </c>
      <c r="B154" t="s">
        <v>275</v>
      </c>
      <c r="C154" t="s">
        <v>276</v>
      </c>
      <c r="D154" s="6">
        <v>46045</v>
      </c>
      <c r="E154" t="s">
        <v>80</v>
      </c>
      <c r="F154" t="s">
        <v>59</v>
      </c>
      <c r="G154" t="s">
        <v>85</v>
      </c>
      <c r="H154" t="s">
        <v>76</v>
      </c>
      <c r="I154">
        <v>7</v>
      </c>
      <c r="J154" s="11">
        <v>1778028</v>
      </c>
      <c r="K154" s="11">
        <v>0</v>
      </c>
      <c r="L154" t="s">
        <v>35</v>
      </c>
      <c r="M154" t="s">
        <v>36</v>
      </c>
      <c r="N154" t="s">
        <v>37</v>
      </c>
      <c r="O154" t="s">
        <v>1377</v>
      </c>
    </row>
    <row r="155" spans="1:15" hidden="1" x14ac:dyDescent="0.25">
      <c r="A155" t="s">
        <v>429</v>
      </c>
      <c r="B155" t="s">
        <v>430</v>
      </c>
      <c r="C155" t="s">
        <v>45</v>
      </c>
      <c r="D155" s="6">
        <v>46197</v>
      </c>
      <c r="E155" t="s">
        <v>80</v>
      </c>
      <c r="F155" t="s">
        <v>32</v>
      </c>
      <c r="G155" t="s">
        <v>85</v>
      </c>
      <c r="H155" t="s">
        <v>47</v>
      </c>
      <c r="I155">
        <v>7</v>
      </c>
      <c r="J155" s="11">
        <v>1557116</v>
      </c>
      <c r="K155" s="11">
        <v>25000</v>
      </c>
      <c r="L155" t="s">
        <v>35</v>
      </c>
      <c r="M155" t="s">
        <v>67</v>
      </c>
      <c r="N155" t="s">
        <v>37</v>
      </c>
    </row>
    <row r="156" spans="1:15" hidden="1" x14ac:dyDescent="0.25">
      <c r="A156" t="s">
        <v>433</v>
      </c>
      <c r="B156" t="s">
        <v>434</v>
      </c>
      <c r="C156" t="s">
        <v>435</v>
      </c>
      <c r="D156" s="6">
        <v>46200</v>
      </c>
      <c r="E156" t="s">
        <v>31</v>
      </c>
      <c r="F156" t="s">
        <v>59</v>
      </c>
      <c r="G156" t="s">
        <v>46</v>
      </c>
      <c r="H156" t="s">
        <v>47</v>
      </c>
      <c r="I156">
        <v>5</v>
      </c>
      <c r="J156" s="11">
        <v>680886</v>
      </c>
      <c r="K156" s="11">
        <v>0</v>
      </c>
      <c r="L156" t="s">
        <v>35</v>
      </c>
      <c r="M156" t="s">
        <v>71</v>
      </c>
      <c r="N156" t="s">
        <v>37</v>
      </c>
      <c r="O156" t="s">
        <v>1377</v>
      </c>
    </row>
    <row r="157" spans="1:15" hidden="1" x14ac:dyDescent="0.25">
      <c r="A157" t="s">
        <v>436</v>
      </c>
      <c r="B157" t="s">
        <v>125</v>
      </c>
      <c r="C157" t="s">
        <v>126</v>
      </c>
      <c r="D157" s="6">
        <v>46043</v>
      </c>
      <c r="E157" t="s">
        <v>58</v>
      </c>
      <c r="F157" t="s">
        <v>32</v>
      </c>
      <c r="G157" t="s">
        <v>60</v>
      </c>
      <c r="H157" t="s">
        <v>76</v>
      </c>
      <c r="I157">
        <v>1</v>
      </c>
      <c r="J157" s="11">
        <v>445155</v>
      </c>
      <c r="K157" s="11">
        <v>50000</v>
      </c>
      <c r="L157" t="s">
        <v>48</v>
      </c>
      <c r="M157" t="s">
        <v>71</v>
      </c>
      <c r="N157" t="s">
        <v>37</v>
      </c>
    </row>
    <row r="158" spans="1:15" hidden="1" x14ac:dyDescent="0.25">
      <c r="A158" t="s">
        <v>437</v>
      </c>
      <c r="B158" t="s">
        <v>438</v>
      </c>
      <c r="C158" t="s">
        <v>244</v>
      </c>
      <c r="D158" s="6">
        <v>46068</v>
      </c>
      <c r="E158" t="s">
        <v>58</v>
      </c>
      <c r="F158" t="s">
        <v>42</v>
      </c>
      <c r="G158" t="s">
        <v>75</v>
      </c>
      <c r="H158" t="s">
        <v>54</v>
      </c>
      <c r="I158">
        <v>4</v>
      </c>
      <c r="J158" s="11">
        <v>155363</v>
      </c>
      <c r="K158" s="11">
        <v>0</v>
      </c>
      <c r="L158" t="s">
        <v>35</v>
      </c>
      <c r="M158" t="s">
        <v>67</v>
      </c>
      <c r="N158" t="s">
        <v>37</v>
      </c>
      <c r="O158" t="s">
        <v>1377</v>
      </c>
    </row>
    <row r="159" spans="1:15" x14ac:dyDescent="0.25">
      <c r="A159" t="s">
        <v>440</v>
      </c>
      <c r="B159" t="s">
        <v>441</v>
      </c>
      <c r="C159" t="s">
        <v>442</v>
      </c>
      <c r="D159" s="6">
        <v>46114</v>
      </c>
      <c r="E159" t="s">
        <v>31</v>
      </c>
      <c r="F159" t="s">
        <v>42</v>
      </c>
      <c r="G159" t="s">
        <v>60</v>
      </c>
      <c r="H159" t="s">
        <v>66</v>
      </c>
      <c r="I159">
        <v>7</v>
      </c>
      <c r="J159" s="11">
        <v>923258</v>
      </c>
      <c r="K159" s="11">
        <v>0</v>
      </c>
      <c r="L159" t="s">
        <v>35</v>
      </c>
      <c r="M159" t="s">
        <v>67</v>
      </c>
      <c r="N159" t="s">
        <v>61</v>
      </c>
      <c r="O159" t="s">
        <v>1377</v>
      </c>
    </row>
    <row r="160" spans="1:15" x14ac:dyDescent="0.25">
      <c r="A160" t="s">
        <v>444</v>
      </c>
      <c r="B160" t="s">
        <v>51</v>
      </c>
      <c r="C160" t="s">
        <v>52</v>
      </c>
      <c r="D160" s="6">
        <v>46149</v>
      </c>
      <c r="E160" t="s">
        <v>80</v>
      </c>
      <c r="F160" t="s">
        <v>59</v>
      </c>
      <c r="G160" t="s">
        <v>85</v>
      </c>
      <c r="H160" t="s">
        <v>76</v>
      </c>
      <c r="I160">
        <v>2</v>
      </c>
      <c r="J160" s="11">
        <v>996971</v>
      </c>
      <c r="K160" s="11">
        <v>0</v>
      </c>
      <c r="L160" t="s">
        <v>89</v>
      </c>
      <c r="M160" t="s">
        <v>36</v>
      </c>
      <c r="N160" t="s">
        <v>61</v>
      </c>
      <c r="O160" t="s">
        <v>1377</v>
      </c>
    </row>
    <row r="161" spans="1:15" hidden="1" x14ac:dyDescent="0.25">
      <c r="A161" t="s">
        <v>445</v>
      </c>
      <c r="B161" t="s">
        <v>446</v>
      </c>
      <c r="C161" t="s">
        <v>98</v>
      </c>
      <c r="D161" s="6">
        <v>46167</v>
      </c>
      <c r="E161" t="s">
        <v>31</v>
      </c>
      <c r="F161" t="s">
        <v>32</v>
      </c>
      <c r="G161" t="s">
        <v>46</v>
      </c>
      <c r="H161" t="s">
        <v>34</v>
      </c>
      <c r="I161">
        <v>1</v>
      </c>
      <c r="J161" s="11">
        <v>2490369</v>
      </c>
      <c r="K161" s="11">
        <v>15000</v>
      </c>
      <c r="L161" t="s">
        <v>35</v>
      </c>
      <c r="M161" t="s">
        <v>36</v>
      </c>
      <c r="N161" t="s">
        <v>37</v>
      </c>
    </row>
    <row r="162" spans="1:15" hidden="1" x14ac:dyDescent="0.25">
      <c r="A162" t="s">
        <v>448</v>
      </c>
      <c r="B162" t="s">
        <v>252</v>
      </c>
      <c r="C162" t="s">
        <v>253</v>
      </c>
      <c r="D162" s="6">
        <v>46196</v>
      </c>
      <c r="E162" t="s">
        <v>41</v>
      </c>
      <c r="F162" t="s">
        <v>65</v>
      </c>
      <c r="G162" t="s">
        <v>60</v>
      </c>
      <c r="H162" t="s">
        <v>54</v>
      </c>
      <c r="I162">
        <v>5</v>
      </c>
      <c r="J162" s="11">
        <v>216961</v>
      </c>
      <c r="K162" s="11">
        <v>50000</v>
      </c>
      <c r="L162" t="s">
        <v>35</v>
      </c>
      <c r="M162" t="s">
        <v>36</v>
      </c>
      <c r="N162" t="s">
        <v>37</v>
      </c>
    </row>
    <row r="163" spans="1:15" x14ac:dyDescent="0.25">
      <c r="A163" t="s">
        <v>449</v>
      </c>
      <c r="B163" t="s">
        <v>450</v>
      </c>
      <c r="C163" t="s">
        <v>219</v>
      </c>
      <c r="E163" t="s">
        <v>53</v>
      </c>
      <c r="F163" t="s">
        <v>65</v>
      </c>
      <c r="G163" t="s">
        <v>75</v>
      </c>
      <c r="H163" t="s">
        <v>34</v>
      </c>
      <c r="I163">
        <v>6</v>
      </c>
      <c r="J163" s="11">
        <v>1269388</v>
      </c>
      <c r="K163" s="11">
        <v>0</v>
      </c>
      <c r="L163" t="s">
        <v>35</v>
      </c>
      <c r="M163" t="s">
        <v>36</v>
      </c>
      <c r="N163" t="s">
        <v>61</v>
      </c>
      <c r="O163" t="s">
        <v>1383</v>
      </c>
    </row>
    <row r="164" spans="1:15" hidden="1" x14ac:dyDescent="0.25">
      <c r="A164" t="s">
        <v>451</v>
      </c>
      <c r="B164" t="s">
        <v>51</v>
      </c>
      <c r="C164" t="s">
        <v>52</v>
      </c>
      <c r="D164" s="6">
        <v>46130</v>
      </c>
      <c r="E164" t="s">
        <v>58</v>
      </c>
      <c r="F164" t="s">
        <v>65</v>
      </c>
      <c r="G164" t="s">
        <v>75</v>
      </c>
      <c r="H164" t="s">
        <v>34</v>
      </c>
      <c r="I164">
        <v>3</v>
      </c>
      <c r="J164" s="11">
        <v>2353090</v>
      </c>
      <c r="K164" s="11">
        <v>35000</v>
      </c>
      <c r="L164" t="s">
        <v>35</v>
      </c>
      <c r="M164" t="s">
        <v>67</v>
      </c>
      <c r="N164" t="s">
        <v>37</v>
      </c>
    </row>
    <row r="165" spans="1:15" x14ac:dyDescent="0.25">
      <c r="A165" t="s">
        <v>452</v>
      </c>
      <c r="B165" t="s">
        <v>453</v>
      </c>
      <c r="C165" t="s">
        <v>158</v>
      </c>
      <c r="D165" s="6">
        <v>46086</v>
      </c>
      <c r="E165" t="s">
        <v>58</v>
      </c>
      <c r="F165" t="s">
        <v>65</v>
      </c>
      <c r="G165" t="s">
        <v>60</v>
      </c>
      <c r="H165" t="s">
        <v>47</v>
      </c>
      <c r="I165">
        <v>3</v>
      </c>
      <c r="J165" s="11">
        <v>945761</v>
      </c>
      <c r="K165" s="11">
        <v>15000</v>
      </c>
      <c r="L165" t="s">
        <v>35</v>
      </c>
      <c r="M165" t="s">
        <v>36</v>
      </c>
      <c r="N165" t="s">
        <v>61</v>
      </c>
    </row>
    <row r="166" spans="1:15" x14ac:dyDescent="0.25">
      <c r="A166" t="s">
        <v>454</v>
      </c>
      <c r="B166" t="s">
        <v>223</v>
      </c>
      <c r="C166" t="s">
        <v>224</v>
      </c>
      <c r="D166" s="6">
        <v>46183</v>
      </c>
      <c r="E166" t="s">
        <v>80</v>
      </c>
      <c r="F166" t="s">
        <v>65</v>
      </c>
      <c r="G166" t="s">
        <v>33</v>
      </c>
      <c r="H166" t="s">
        <v>76</v>
      </c>
      <c r="I166">
        <v>2</v>
      </c>
      <c r="J166" s="11">
        <v>1522166</v>
      </c>
      <c r="K166" s="11">
        <v>25000</v>
      </c>
      <c r="L166" t="s">
        <v>35</v>
      </c>
      <c r="M166" t="s">
        <v>67</v>
      </c>
      <c r="N166" t="s">
        <v>61</v>
      </c>
    </row>
    <row r="167" spans="1:15" x14ac:dyDescent="0.25">
      <c r="A167" t="s">
        <v>456</v>
      </c>
      <c r="B167" t="s">
        <v>457</v>
      </c>
      <c r="C167" t="s">
        <v>260</v>
      </c>
      <c r="D167" s="6">
        <v>46176</v>
      </c>
      <c r="E167" t="s">
        <v>58</v>
      </c>
      <c r="F167" t="s">
        <v>65</v>
      </c>
      <c r="G167" t="s">
        <v>60</v>
      </c>
      <c r="H167" t="s">
        <v>66</v>
      </c>
      <c r="I167">
        <v>6</v>
      </c>
      <c r="J167" s="11">
        <v>1959325</v>
      </c>
      <c r="K167" s="11">
        <v>0</v>
      </c>
      <c r="L167" t="s">
        <v>35</v>
      </c>
      <c r="M167" t="s">
        <v>67</v>
      </c>
      <c r="N167" t="s">
        <v>61</v>
      </c>
      <c r="O167" t="s">
        <v>1377</v>
      </c>
    </row>
    <row r="168" spans="1:15" x14ac:dyDescent="0.25">
      <c r="A168" t="s">
        <v>458</v>
      </c>
      <c r="B168" t="s">
        <v>366</v>
      </c>
      <c r="C168" t="s">
        <v>266</v>
      </c>
      <c r="D168" s="6">
        <v>46055</v>
      </c>
      <c r="E168" t="s">
        <v>58</v>
      </c>
      <c r="F168" t="s">
        <v>65</v>
      </c>
      <c r="G168" t="s">
        <v>75</v>
      </c>
      <c r="H168" t="s">
        <v>54</v>
      </c>
      <c r="I168">
        <v>1</v>
      </c>
      <c r="J168" s="11">
        <v>380056</v>
      </c>
      <c r="K168" s="11">
        <v>35000</v>
      </c>
      <c r="L168" t="s">
        <v>35</v>
      </c>
      <c r="M168" t="s">
        <v>36</v>
      </c>
      <c r="N168" t="s">
        <v>61</v>
      </c>
    </row>
    <row r="169" spans="1:15" hidden="1" x14ac:dyDescent="0.25">
      <c r="A169" t="s">
        <v>459</v>
      </c>
      <c r="B169" t="s">
        <v>333</v>
      </c>
      <c r="C169" t="s">
        <v>334</v>
      </c>
      <c r="D169" s="6">
        <v>46120</v>
      </c>
      <c r="E169" t="s">
        <v>53</v>
      </c>
      <c r="F169" t="s">
        <v>65</v>
      </c>
      <c r="G169" t="s">
        <v>60</v>
      </c>
      <c r="H169" t="s">
        <v>47</v>
      </c>
      <c r="I169">
        <v>5</v>
      </c>
      <c r="J169" s="11">
        <v>1804780</v>
      </c>
      <c r="K169" s="11">
        <v>0</v>
      </c>
      <c r="L169" t="s">
        <v>35</v>
      </c>
      <c r="M169" t="s">
        <v>67</v>
      </c>
      <c r="N169" t="s">
        <v>37</v>
      </c>
      <c r="O169" t="s">
        <v>1377</v>
      </c>
    </row>
    <row r="170" spans="1:15" x14ac:dyDescent="0.25">
      <c r="A170" t="s">
        <v>460</v>
      </c>
      <c r="B170" t="s">
        <v>461</v>
      </c>
      <c r="C170" t="s">
        <v>152</v>
      </c>
      <c r="D170" s="6">
        <v>46132</v>
      </c>
      <c r="E170" t="s">
        <v>41</v>
      </c>
      <c r="F170" t="s">
        <v>32</v>
      </c>
      <c r="G170" t="s">
        <v>46</v>
      </c>
      <c r="H170" t="s">
        <v>34</v>
      </c>
      <c r="I170">
        <v>6</v>
      </c>
      <c r="J170" s="11">
        <v>544790</v>
      </c>
      <c r="K170" s="11">
        <v>25000</v>
      </c>
      <c r="L170" t="s">
        <v>245</v>
      </c>
      <c r="M170" t="s">
        <v>71</v>
      </c>
      <c r="N170" t="s">
        <v>61</v>
      </c>
    </row>
    <row r="171" spans="1:15" hidden="1" x14ac:dyDescent="0.25">
      <c r="A171" t="s">
        <v>462</v>
      </c>
      <c r="B171" t="s">
        <v>463</v>
      </c>
      <c r="C171" t="s">
        <v>40</v>
      </c>
      <c r="D171" s="6">
        <v>46026</v>
      </c>
      <c r="E171" t="s">
        <v>53</v>
      </c>
      <c r="F171" t="s">
        <v>32</v>
      </c>
      <c r="G171" t="s">
        <v>33</v>
      </c>
      <c r="H171" t="s">
        <v>47</v>
      </c>
      <c r="I171">
        <v>7</v>
      </c>
      <c r="J171" s="11">
        <v>403302</v>
      </c>
      <c r="K171" s="11">
        <v>50000</v>
      </c>
      <c r="L171" t="s">
        <v>48</v>
      </c>
      <c r="M171" t="s">
        <v>36</v>
      </c>
      <c r="N171" t="s">
        <v>37</v>
      </c>
    </row>
    <row r="172" spans="1:15" hidden="1" x14ac:dyDescent="0.25">
      <c r="A172" t="s">
        <v>464</v>
      </c>
      <c r="B172" t="s">
        <v>182</v>
      </c>
      <c r="C172" t="s">
        <v>200</v>
      </c>
      <c r="D172" s="6">
        <v>46181</v>
      </c>
      <c r="E172" t="s">
        <v>31</v>
      </c>
      <c r="F172" t="s">
        <v>32</v>
      </c>
      <c r="G172" t="s">
        <v>46</v>
      </c>
      <c r="H172" t="s">
        <v>47</v>
      </c>
      <c r="I172">
        <v>2</v>
      </c>
      <c r="J172" s="11">
        <v>1984889</v>
      </c>
      <c r="K172" s="11">
        <v>15000</v>
      </c>
      <c r="L172" t="s">
        <v>35</v>
      </c>
      <c r="M172" t="s">
        <v>67</v>
      </c>
      <c r="N172" t="s">
        <v>37</v>
      </c>
    </row>
    <row r="173" spans="1:15" x14ac:dyDescent="0.25">
      <c r="A173" t="s">
        <v>466</v>
      </c>
      <c r="B173" t="s">
        <v>218</v>
      </c>
      <c r="C173" t="s">
        <v>219</v>
      </c>
      <c r="D173" s="6">
        <v>46172</v>
      </c>
      <c r="E173" t="s">
        <v>80</v>
      </c>
      <c r="F173" t="s">
        <v>32</v>
      </c>
      <c r="G173" t="s">
        <v>81</v>
      </c>
      <c r="H173" t="s">
        <v>76</v>
      </c>
      <c r="I173">
        <v>2</v>
      </c>
      <c r="J173" s="11">
        <v>2389721</v>
      </c>
      <c r="K173" s="11">
        <v>15000</v>
      </c>
      <c r="L173" t="s">
        <v>35</v>
      </c>
      <c r="M173" t="s">
        <v>36</v>
      </c>
      <c r="N173" t="s">
        <v>61</v>
      </c>
    </row>
    <row r="174" spans="1:15" x14ac:dyDescent="0.25">
      <c r="A174" t="s">
        <v>468</v>
      </c>
      <c r="B174" t="s">
        <v>469</v>
      </c>
      <c r="C174" t="s">
        <v>470</v>
      </c>
      <c r="D174" s="6">
        <v>46083</v>
      </c>
      <c r="E174" t="s">
        <v>31</v>
      </c>
      <c r="F174" t="s">
        <v>42</v>
      </c>
      <c r="G174" t="s">
        <v>81</v>
      </c>
      <c r="H174" t="s">
        <v>66</v>
      </c>
      <c r="I174">
        <v>7</v>
      </c>
      <c r="J174" s="11">
        <v>2246964</v>
      </c>
      <c r="K174" s="11">
        <v>50000</v>
      </c>
      <c r="L174" t="s">
        <v>35</v>
      </c>
      <c r="M174" t="s">
        <v>67</v>
      </c>
      <c r="N174" t="s">
        <v>61</v>
      </c>
    </row>
    <row r="175" spans="1:15" x14ac:dyDescent="0.25">
      <c r="A175" t="s">
        <v>472</v>
      </c>
      <c r="B175" t="s">
        <v>396</v>
      </c>
      <c r="C175" t="s">
        <v>241</v>
      </c>
      <c r="D175" s="6">
        <v>46144</v>
      </c>
      <c r="E175" t="s">
        <v>80</v>
      </c>
      <c r="F175" t="s">
        <v>32</v>
      </c>
      <c r="G175" t="s">
        <v>60</v>
      </c>
      <c r="H175" t="s">
        <v>66</v>
      </c>
      <c r="I175">
        <v>6</v>
      </c>
      <c r="J175" s="11">
        <v>2080427</v>
      </c>
      <c r="K175" s="11">
        <v>50000</v>
      </c>
      <c r="L175" t="s">
        <v>35</v>
      </c>
      <c r="M175" t="s">
        <v>36</v>
      </c>
      <c r="N175" t="s">
        <v>61</v>
      </c>
    </row>
    <row r="176" spans="1:15" x14ac:dyDescent="0.25">
      <c r="A176" t="s">
        <v>473</v>
      </c>
      <c r="B176" t="s">
        <v>463</v>
      </c>
      <c r="C176" t="s">
        <v>40</v>
      </c>
      <c r="D176" s="6">
        <v>46139</v>
      </c>
      <c r="E176" t="s">
        <v>31</v>
      </c>
      <c r="F176" t="s">
        <v>59</v>
      </c>
      <c r="G176" t="s">
        <v>46</v>
      </c>
      <c r="H176" t="s">
        <v>34</v>
      </c>
      <c r="I176">
        <v>2</v>
      </c>
      <c r="J176" s="11">
        <v>296966</v>
      </c>
      <c r="K176" s="11">
        <v>35000</v>
      </c>
      <c r="L176" t="s">
        <v>245</v>
      </c>
      <c r="M176" t="s">
        <v>36</v>
      </c>
      <c r="N176" t="s">
        <v>61</v>
      </c>
    </row>
    <row r="177" spans="1:15" x14ac:dyDescent="0.25">
      <c r="A177" t="s">
        <v>474</v>
      </c>
      <c r="B177" t="s">
        <v>475</v>
      </c>
      <c r="C177" t="s">
        <v>328</v>
      </c>
      <c r="D177" s="6">
        <v>46107</v>
      </c>
      <c r="E177" t="s">
        <v>80</v>
      </c>
      <c r="F177" t="s">
        <v>65</v>
      </c>
      <c r="G177" t="s">
        <v>81</v>
      </c>
      <c r="H177" t="s">
        <v>66</v>
      </c>
      <c r="I177">
        <v>4</v>
      </c>
      <c r="J177" s="11">
        <v>1696688</v>
      </c>
      <c r="K177" s="11">
        <v>15000</v>
      </c>
      <c r="L177" t="s">
        <v>35</v>
      </c>
      <c r="N177" t="s">
        <v>61</v>
      </c>
      <c r="O177" t="s">
        <v>1379</v>
      </c>
    </row>
    <row r="178" spans="1:15" x14ac:dyDescent="0.25">
      <c r="A178" t="s">
        <v>476</v>
      </c>
      <c r="B178" t="s">
        <v>63</v>
      </c>
      <c r="C178" t="s">
        <v>64</v>
      </c>
      <c r="D178" s="6">
        <v>46052</v>
      </c>
      <c r="E178" t="s">
        <v>80</v>
      </c>
      <c r="F178" t="s">
        <v>65</v>
      </c>
      <c r="G178" t="s">
        <v>81</v>
      </c>
      <c r="H178" t="s">
        <v>34</v>
      </c>
      <c r="I178">
        <v>4</v>
      </c>
      <c r="J178" s="11">
        <v>717277</v>
      </c>
      <c r="K178" s="11">
        <v>25000</v>
      </c>
      <c r="L178" t="s">
        <v>35</v>
      </c>
      <c r="M178" t="s">
        <v>36</v>
      </c>
      <c r="N178" t="s">
        <v>61</v>
      </c>
    </row>
    <row r="179" spans="1:15" x14ac:dyDescent="0.25">
      <c r="A179" t="s">
        <v>477</v>
      </c>
      <c r="B179" t="s">
        <v>302</v>
      </c>
      <c r="C179" t="s">
        <v>111</v>
      </c>
      <c r="D179" s="6">
        <v>46067</v>
      </c>
      <c r="E179" t="s">
        <v>31</v>
      </c>
      <c r="F179" t="s">
        <v>42</v>
      </c>
      <c r="G179" t="s">
        <v>85</v>
      </c>
      <c r="H179" t="s">
        <v>54</v>
      </c>
      <c r="I179">
        <v>6</v>
      </c>
      <c r="J179" s="11">
        <v>1038322</v>
      </c>
      <c r="K179" s="11">
        <v>25000</v>
      </c>
      <c r="L179" t="s">
        <v>35</v>
      </c>
      <c r="M179" t="s">
        <v>71</v>
      </c>
      <c r="N179" t="s">
        <v>61</v>
      </c>
    </row>
    <row r="180" spans="1:15" hidden="1" x14ac:dyDescent="0.25">
      <c r="A180" t="s">
        <v>478</v>
      </c>
      <c r="B180" t="s">
        <v>392</v>
      </c>
      <c r="C180" t="s">
        <v>393</v>
      </c>
      <c r="D180" s="6">
        <v>46090</v>
      </c>
      <c r="E180" t="s">
        <v>58</v>
      </c>
      <c r="F180" t="s">
        <v>32</v>
      </c>
      <c r="G180" t="s">
        <v>85</v>
      </c>
      <c r="H180" t="s">
        <v>66</v>
      </c>
      <c r="I180">
        <v>7</v>
      </c>
      <c r="J180" s="11">
        <v>544422</v>
      </c>
      <c r="K180" s="11">
        <v>0</v>
      </c>
      <c r="L180" t="s">
        <v>35</v>
      </c>
      <c r="M180" t="s">
        <v>36</v>
      </c>
      <c r="N180" t="s">
        <v>37</v>
      </c>
      <c r="O180" t="s">
        <v>1377</v>
      </c>
    </row>
    <row r="181" spans="1:15" x14ac:dyDescent="0.25">
      <c r="A181" t="s">
        <v>479</v>
      </c>
      <c r="B181" t="s">
        <v>480</v>
      </c>
      <c r="C181" t="s">
        <v>101</v>
      </c>
      <c r="D181" s="6">
        <v>46117</v>
      </c>
      <c r="E181" t="s">
        <v>58</v>
      </c>
      <c r="F181" t="s">
        <v>65</v>
      </c>
      <c r="G181" t="s">
        <v>85</v>
      </c>
      <c r="H181" t="s">
        <v>34</v>
      </c>
      <c r="I181">
        <v>5</v>
      </c>
      <c r="J181" s="11">
        <v>1681750</v>
      </c>
      <c r="K181" s="11">
        <v>15000</v>
      </c>
      <c r="L181" t="s">
        <v>89</v>
      </c>
      <c r="M181" t="s">
        <v>49</v>
      </c>
      <c r="N181" t="s">
        <v>61</v>
      </c>
    </row>
    <row r="182" spans="1:15" x14ac:dyDescent="0.25">
      <c r="A182" t="s">
        <v>481</v>
      </c>
      <c r="B182" t="s">
        <v>252</v>
      </c>
      <c r="C182" t="s">
        <v>253</v>
      </c>
      <c r="D182" s="6">
        <v>46159</v>
      </c>
      <c r="E182" t="s">
        <v>31</v>
      </c>
      <c r="F182" t="s">
        <v>65</v>
      </c>
      <c r="G182" t="s">
        <v>46</v>
      </c>
      <c r="H182" t="s">
        <v>76</v>
      </c>
      <c r="I182">
        <v>3</v>
      </c>
      <c r="J182" s="11">
        <v>1706267</v>
      </c>
      <c r="K182" s="11">
        <v>25000</v>
      </c>
      <c r="L182" t="s">
        <v>35</v>
      </c>
      <c r="M182" t="s">
        <v>49</v>
      </c>
      <c r="N182" t="s">
        <v>61</v>
      </c>
    </row>
    <row r="183" spans="1:15" hidden="1" x14ac:dyDescent="0.25">
      <c r="A183" t="s">
        <v>482</v>
      </c>
      <c r="B183" t="s">
        <v>321</v>
      </c>
      <c r="C183" t="s">
        <v>92</v>
      </c>
      <c r="D183" s="6">
        <v>46160</v>
      </c>
      <c r="E183" t="s">
        <v>80</v>
      </c>
      <c r="F183" t="s">
        <v>42</v>
      </c>
      <c r="G183" t="s">
        <v>46</v>
      </c>
      <c r="H183" t="s">
        <v>76</v>
      </c>
      <c r="I183">
        <v>3</v>
      </c>
      <c r="J183" s="11">
        <v>1353891</v>
      </c>
      <c r="K183" s="11">
        <v>15000</v>
      </c>
      <c r="L183" t="s">
        <v>35</v>
      </c>
      <c r="M183" t="s">
        <v>36</v>
      </c>
      <c r="N183" t="s">
        <v>37</v>
      </c>
    </row>
    <row r="184" spans="1:15" hidden="1" x14ac:dyDescent="0.25">
      <c r="A184" t="s">
        <v>483</v>
      </c>
      <c r="B184" t="s">
        <v>347</v>
      </c>
      <c r="C184" t="s">
        <v>276</v>
      </c>
      <c r="D184" s="6">
        <v>46043</v>
      </c>
      <c r="E184" t="s">
        <v>53</v>
      </c>
      <c r="F184" t="s">
        <v>32</v>
      </c>
      <c r="G184" t="s">
        <v>60</v>
      </c>
      <c r="H184" t="s">
        <v>76</v>
      </c>
      <c r="I184">
        <v>1</v>
      </c>
      <c r="J184" s="11">
        <v>2094121</v>
      </c>
      <c r="K184" s="11">
        <v>50000</v>
      </c>
      <c r="L184" t="s">
        <v>35</v>
      </c>
      <c r="M184" t="s">
        <v>36</v>
      </c>
      <c r="N184" t="s">
        <v>37</v>
      </c>
    </row>
    <row r="185" spans="1:15" x14ac:dyDescent="0.25">
      <c r="A185" t="s">
        <v>485</v>
      </c>
      <c r="B185" t="s">
        <v>486</v>
      </c>
      <c r="C185" t="s">
        <v>170</v>
      </c>
      <c r="E185" t="s">
        <v>41</v>
      </c>
      <c r="F185" t="s">
        <v>32</v>
      </c>
      <c r="G185" t="s">
        <v>46</v>
      </c>
      <c r="H185" t="s">
        <v>47</v>
      </c>
      <c r="I185">
        <v>6</v>
      </c>
      <c r="J185" s="11">
        <v>1688161</v>
      </c>
      <c r="K185" s="11">
        <v>50000</v>
      </c>
      <c r="L185" t="s">
        <v>35</v>
      </c>
      <c r="M185" t="s">
        <v>49</v>
      </c>
      <c r="N185" t="s">
        <v>61</v>
      </c>
      <c r="O185" t="s">
        <v>1375</v>
      </c>
    </row>
    <row r="186" spans="1:15" hidden="1" x14ac:dyDescent="0.25">
      <c r="A186" t="s">
        <v>488</v>
      </c>
      <c r="B186" t="s">
        <v>347</v>
      </c>
      <c r="C186" t="s">
        <v>276</v>
      </c>
      <c r="D186" s="6">
        <v>46079</v>
      </c>
      <c r="E186" t="s">
        <v>41</v>
      </c>
      <c r="F186" t="s">
        <v>59</v>
      </c>
      <c r="G186" t="s">
        <v>46</v>
      </c>
      <c r="H186" t="s">
        <v>34</v>
      </c>
      <c r="I186">
        <v>7</v>
      </c>
      <c r="J186" s="11">
        <v>971445</v>
      </c>
      <c r="K186" s="11">
        <v>35000</v>
      </c>
      <c r="L186" t="s">
        <v>35</v>
      </c>
      <c r="M186" t="s">
        <v>67</v>
      </c>
      <c r="N186" t="s">
        <v>37</v>
      </c>
    </row>
    <row r="187" spans="1:15" hidden="1" x14ac:dyDescent="0.25">
      <c r="A187" t="s">
        <v>489</v>
      </c>
      <c r="B187" t="s">
        <v>490</v>
      </c>
      <c r="C187" t="s">
        <v>45</v>
      </c>
      <c r="D187" s="6">
        <v>46163</v>
      </c>
      <c r="E187" t="s">
        <v>80</v>
      </c>
      <c r="F187" t="s">
        <v>42</v>
      </c>
      <c r="G187" t="s">
        <v>46</v>
      </c>
      <c r="H187" t="s">
        <v>54</v>
      </c>
      <c r="I187">
        <v>7</v>
      </c>
      <c r="J187" s="11">
        <v>475504</v>
      </c>
      <c r="K187" s="11">
        <v>15000</v>
      </c>
      <c r="L187" t="s">
        <v>35</v>
      </c>
      <c r="M187" t="s">
        <v>36</v>
      </c>
      <c r="N187" t="s">
        <v>37</v>
      </c>
    </row>
    <row r="188" spans="1:15" x14ac:dyDescent="0.25">
      <c r="A188" t="s">
        <v>491</v>
      </c>
      <c r="B188" t="s">
        <v>492</v>
      </c>
      <c r="C188" t="s">
        <v>165</v>
      </c>
      <c r="D188" s="6">
        <v>46182</v>
      </c>
      <c r="E188" t="s">
        <v>41</v>
      </c>
      <c r="F188" t="s">
        <v>32</v>
      </c>
      <c r="G188" t="s">
        <v>33</v>
      </c>
      <c r="H188" t="s">
        <v>47</v>
      </c>
      <c r="I188">
        <v>4</v>
      </c>
      <c r="J188" s="11">
        <v>1530854</v>
      </c>
      <c r="K188" s="11">
        <v>35000</v>
      </c>
      <c r="L188" t="s">
        <v>35</v>
      </c>
      <c r="M188" t="s">
        <v>36</v>
      </c>
      <c r="N188" t="s">
        <v>61</v>
      </c>
    </row>
    <row r="189" spans="1:15" x14ac:dyDescent="0.25">
      <c r="A189" t="s">
        <v>493</v>
      </c>
      <c r="B189" t="s">
        <v>486</v>
      </c>
      <c r="C189" t="s">
        <v>170</v>
      </c>
      <c r="D189" s="6">
        <v>46136</v>
      </c>
      <c r="E189" t="s">
        <v>80</v>
      </c>
      <c r="F189" t="s">
        <v>65</v>
      </c>
      <c r="G189" t="s">
        <v>33</v>
      </c>
      <c r="H189" t="s">
        <v>34</v>
      </c>
      <c r="I189">
        <v>6</v>
      </c>
      <c r="J189" s="11">
        <v>1100588</v>
      </c>
      <c r="K189" s="11">
        <v>25000</v>
      </c>
      <c r="L189" t="s">
        <v>35</v>
      </c>
      <c r="M189" t="s">
        <v>71</v>
      </c>
      <c r="N189" t="s">
        <v>61</v>
      </c>
    </row>
    <row r="190" spans="1:15" x14ac:dyDescent="0.25">
      <c r="A190" t="s">
        <v>494</v>
      </c>
      <c r="B190" t="s">
        <v>146</v>
      </c>
      <c r="C190" t="s">
        <v>40</v>
      </c>
      <c r="D190" s="6">
        <v>46041</v>
      </c>
      <c r="E190" t="s">
        <v>80</v>
      </c>
      <c r="F190" t="s">
        <v>32</v>
      </c>
      <c r="G190" t="s">
        <v>33</v>
      </c>
      <c r="H190" t="s">
        <v>66</v>
      </c>
      <c r="I190">
        <v>5</v>
      </c>
      <c r="J190" s="11">
        <v>1630943</v>
      </c>
      <c r="K190" s="11">
        <v>0</v>
      </c>
      <c r="L190" t="s">
        <v>35</v>
      </c>
      <c r="M190" t="s">
        <v>67</v>
      </c>
      <c r="N190" t="s">
        <v>61</v>
      </c>
      <c r="O190" t="s">
        <v>1377</v>
      </c>
    </row>
    <row r="191" spans="1:15" x14ac:dyDescent="0.25">
      <c r="A191" t="s">
        <v>495</v>
      </c>
      <c r="B191" t="s">
        <v>69</v>
      </c>
      <c r="C191" t="s">
        <v>70</v>
      </c>
      <c r="D191" s="6">
        <v>46177</v>
      </c>
      <c r="E191" t="s">
        <v>80</v>
      </c>
      <c r="F191" t="s">
        <v>59</v>
      </c>
      <c r="G191" t="s">
        <v>60</v>
      </c>
      <c r="H191" t="s">
        <v>76</v>
      </c>
      <c r="I191">
        <v>3</v>
      </c>
      <c r="J191" s="11">
        <v>698248</v>
      </c>
      <c r="K191" s="11">
        <v>50000</v>
      </c>
      <c r="L191" t="s">
        <v>35</v>
      </c>
      <c r="M191" t="s">
        <v>67</v>
      </c>
      <c r="N191" t="s">
        <v>61</v>
      </c>
    </row>
    <row r="192" spans="1:15" hidden="1" x14ac:dyDescent="0.25">
      <c r="A192" t="s">
        <v>496</v>
      </c>
      <c r="B192" t="s">
        <v>172</v>
      </c>
      <c r="C192" t="s">
        <v>173</v>
      </c>
      <c r="D192" s="6">
        <v>46190</v>
      </c>
      <c r="E192" t="s">
        <v>31</v>
      </c>
      <c r="F192" t="s">
        <v>59</v>
      </c>
      <c r="G192" t="s">
        <v>85</v>
      </c>
      <c r="H192" t="s">
        <v>76</v>
      </c>
      <c r="I192">
        <v>7</v>
      </c>
      <c r="J192" s="11">
        <v>2270197</v>
      </c>
      <c r="K192" s="11">
        <v>15000</v>
      </c>
      <c r="L192" t="s">
        <v>35</v>
      </c>
      <c r="M192" t="s">
        <v>67</v>
      </c>
      <c r="N192" t="s">
        <v>37</v>
      </c>
    </row>
    <row r="193" spans="1:15" x14ac:dyDescent="0.25">
      <c r="A193" t="s">
        <v>497</v>
      </c>
      <c r="B193" t="s">
        <v>498</v>
      </c>
      <c r="C193" t="s">
        <v>388</v>
      </c>
      <c r="D193" s="6">
        <v>46141</v>
      </c>
      <c r="E193" t="s">
        <v>41</v>
      </c>
      <c r="F193" t="s">
        <v>42</v>
      </c>
      <c r="G193" t="s">
        <v>60</v>
      </c>
      <c r="H193" t="s">
        <v>47</v>
      </c>
      <c r="I193">
        <v>3</v>
      </c>
      <c r="J193" s="11">
        <v>1548829</v>
      </c>
      <c r="K193" s="11">
        <v>0</v>
      </c>
      <c r="L193" t="s">
        <v>48</v>
      </c>
      <c r="M193" t="s">
        <v>49</v>
      </c>
      <c r="N193" t="s">
        <v>61</v>
      </c>
      <c r="O193" t="s">
        <v>1377</v>
      </c>
    </row>
    <row r="194" spans="1:15" hidden="1" x14ac:dyDescent="0.25">
      <c r="A194" t="s">
        <v>499</v>
      </c>
      <c r="B194" t="s">
        <v>149</v>
      </c>
      <c r="C194" t="s">
        <v>114</v>
      </c>
      <c r="D194" s="6">
        <v>46058</v>
      </c>
      <c r="E194" t="s">
        <v>80</v>
      </c>
      <c r="F194" t="s">
        <v>32</v>
      </c>
      <c r="G194" t="s">
        <v>85</v>
      </c>
      <c r="H194" t="s">
        <v>47</v>
      </c>
      <c r="I194">
        <v>6</v>
      </c>
      <c r="J194" s="11">
        <v>658320</v>
      </c>
      <c r="K194" s="11">
        <v>25000</v>
      </c>
      <c r="L194" t="s">
        <v>35</v>
      </c>
      <c r="M194" t="s">
        <v>71</v>
      </c>
      <c r="N194" t="s">
        <v>37</v>
      </c>
    </row>
    <row r="195" spans="1:15" hidden="1" x14ac:dyDescent="0.25">
      <c r="A195" t="s">
        <v>500</v>
      </c>
      <c r="B195" t="s">
        <v>192</v>
      </c>
      <c r="C195" t="s">
        <v>101</v>
      </c>
      <c r="D195" s="6">
        <v>46126</v>
      </c>
      <c r="E195" t="s">
        <v>58</v>
      </c>
      <c r="F195" t="s">
        <v>42</v>
      </c>
      <c r="G195" t="s">
        <v>85</v>
      </c>
      <c r="H195" t="s">
        <v>66</v>
      </c>
      <c r="J195" s="11"/>
      <c r="K195" s="11">
        <v>25000</v>
      </c>
      <c r="L195" t="s">
        <v>35</v>
      </c>
      <c r="M195" t="s">
        <v>36</v>
      </c>
      <c r="N195" t="s">
        <v>37</v>
      </c>
      <c r="O195" t="s">
        <v>1380</v>
      </c>
    </row>
    <row r="196" spans="1:15" x14ac:dyDescent="0.25">
      <c r="A196" t="s">
        <v>501</v>
      </c>
      <c r="B196" t="s">
        <v>290</v>
      </c>
      <c r="C196" t="s">
        <v>104</v>
      </c>
      <c r="D196" s="6">
        <v>46075</v>
      </c>
      <c r="E196" t="s">
        <v>80</v>
      </c>
      <c r="F196" t="s">
        <v>59</v>
      </c>
      <c r="G196" t="s">
        <v>75</v>
      </c>
      <c r="H196" t="s">
        <v>66</v>
      </c>
      <c r="I196">
        <v>5</v>
      </c>
      <c r="J196" s="11">
        <v>1758446</v>
      </c>
      <c r="K196" s="11">
        <v>0</v>
      </c>
      <c r="L196" t="s">
        <v>35</v>
      </c>
      <c r="M196" t="s">
        <v>36</v>
      </c>
      <c r="N196" t="s">
        <v>61</v>
      </c>
      <c r="O196" t="s">
        <v>1377</v>
      </c>
    </row>
    <row r="197" spans="1:15" x14ac:dyDescent="0.25">
      <c r="A197" t="s">
        <v>502</v>
      </c>
      <c r="B197" t="s">
        <v>503</v>
      </c>
      <c r="C197" t="s">
        <v>141</v>
      </c>
      <c r="D197" s="6">
        <v>46049</v>
      </c>
      <c r="E197" t="s">
        <v>31</v>
      </c>
      <c r="F197" t="s">
        <v>65</v>
      </c>
      <c r="G197" t="s">
        <v>60</v>
      </c>
      <c r="H197" t="s">
        <v>66</v>
      </c>
      <c r="I197">
        <v>1</v>
      </c>
      <c r="J197" s="11">
        <v>2439059</v>
      </c>
      <c r="K197" s="11">
        <v>15000</v>
      </c>
      <c r="L197" t="s">
        <v>48</v>
      </c>
      <c r="M197" t="s">
        <v>67</v>
      </c>
      <c r="N197" t="s">
        <v>61</v>
      </c>
    </row>
    <row r="198" spans="1:15" x14ac:dyDescent="0.25">
      <c r="A198" t="s">
        <v>504</v>
      </c>
      <c r="B198" t="s">
        <v>505</v>
      </c>
      <c r="C198" t="s">
        <v>470</v>
      </c>
      <c r="D198" s="6">
        <v>46097</v>
      </c>
      <c r="E198" t="s">
        <v>31</v>
      </c>
      <c r="F198" t="s">
        <v>32</v>
      </c>
      <c r="G198" t="s">
        <v>60</v>
      </c>
      <c r="H198" t="s">
        <v>47</v>
      </c>
      <c r="I198">
        <v>4</v>
      </c>
      <c r="J198" s="11">
        <v>2319474</v>
      </c>
      <c r="K198" s="11">
        <v>0</v>
      </c>
      <c r="L198" t="s">
        <v>35</v>
      </c>
      <c r="M198" t="s">
        <v>36</v>
      </c>
      <c r="N198" t="s">
        <v>61</v>
      </c>
      <c r="O198" t="s">
        <v>1377</v>
      </c>
    </row>
    <row r="199" spans="1:15" hidden="1" x14ac:dyDescent="0.25">
      <c r="A199" t="s">
        <v>506</v>
      </c>
      <c r="B199" t="s">
        <v>507</v>
      </c>
      <c r="C199" t="s">
        <v>70</v>
      </c>
      <c r="D199" s="6">
        <v>46056</v>
      </c>
      <c r="E199" t="s">
        <v>31</v>
      </c>
      <c r="F199" t="s">
        <v>42</v>
      </c>
      <c r="G199" t="s">
        <v>85</v>
      </c>
      <c r="H199" t="s">
        <v>66</v>
      </c>
      <c r="I199">
        <v>4</v>
      </c>
      <c r="J199" s="11">
        <v>2370047</v>
      </c>
      <c r="K199" s="11">
        <v>35000</v>
      </c>
      <c r="L199" t="s">
        <v>35</v>
      </c>
      <c r="M199" t="s">
        <v>36</v>
      </c>
      <c r="N199" t="s">
        <v>37</v>
      </c>
    </row>
    <row r="200" spans="1:15" x14ac:dyDescent="0.25">
      <c r="A200" t="s">
        <v>509</v>
      </c>
      <c r="B200" t="s">
        <v>510</v>
      </c>
      <c r="C200" t="s">
        <v>88</v>
      </c>
      <c r="D200" s="6">
        <v>46193</v>
      </c>
      <c r="E200" t="s">
        <v>31</v>
      </c>
      <c r="F200" t="s">
        <v>59</v>
      </c>
      <c r="G200" t="s">
        <v>33</v>
      </c>
      <c r="H200" t="s">
        <v>34</v>
      </c>
      <c r="I200">
        <v>5</v>
      </c>
      <c r="J200" s="11">
        <v>2111371</v>
      </c>
      <c r="K200" s="11">
        <v>15000</v>
      </c>
      <c r="L200" t="s">
        <v>35</v>
      </c>
      <c r="M200" t="s">
        <v>67</v>
      </c>
      <c r="N200" t="s">
        <v>61</v>
      </c>
    </row>
    <row r="201" spans="1:15" x14ac:dyDescent="0.25">
      <c r="A201" t="s">
        <v>511</v>
      </c>
      <c r="B201" t="s">
        <v>135</v>
      </c>
      <c r="C201" t="s">
        <v>136</v>
      </c>
      <c r="D201" s="6">
        <v>46137</v>
      </c>
      <c r="E201" t="s">
        <v>41</v>
      </c>
      <c r="F201" t="s">
        <v>59</v>
      </c>
      <c r="G201" t="s">
        <v>60</v>
      </c>
      <c r="H201" t="s">
        <v>76</v>
      </c>
      <c r="I201">
        <v>5</v>
      </c>
      <c r="J201" s="11">
        <v>388309</v>
      </c>
      <c r="K201" s="11">
        <v>35000</v>
      </c>
      <c r="L201" t="s">
        <v>48</v>
      </c>
      <c r="M201" t="s">
        <v>49</v>
      </c>
      <c r="N201" t="s">
        <v>61</v>
      </c>
    </row>
    <row r="202" spans="1:15" hidden="1" x14ac:dyDescent="0.25">
      <c r="A202" t="s">
        <v>512</v>
      </c>
      <c r="B202" t="s">
        <v>323</v>
      </c>
      <c r="C202" t="s">
        <v>263</v>
      </c>
      <c r="D202" s="6">
        <v>46046</v>
      </c>
      <c r="E202" t="s">
        <v>80</v>
      </c>
      <c r="F202" t="s">
        <v>59</v>
      </c>
      <c r="G202" t="s">
        <v>46</v>
      </c>
      <c r="H202" t="s">
        <v>34</v>
      </c>
      <c r="I202">
        <v>3</v>
      </c>
      <c r="J202" s="11">
        <v>1327589</v>
      </c>
      <c r="K202" s="11">
        <v>35000</v>
      </c>
      <c r="L202" t="s">
        <v>35</v>
      </c>
      <c r="M202" t="s">
        <v>36</v>
      </c>
      <c r="N202" t="s">
        <v>37</v>
      </c>
    </row>
    <row r="203" spans="1:15" x14ac:dyDescent="0.25">
      <c r="A203" t="s">
        <v>513</v>
      </c>
      <c r="B203" t="s">
        <v>424</v>
      </c>
      <c r="C203" t="s">
        <v>79</v>
      </c>
      <c r="D203" s="6">
        <v>46068</v>
      </c>
      <c r="E203" t="s">
        <v>53</v>
      </c>
      <c r="F203" t="s">
        <v>65</v>
      </c>
      <c r="G203" t="s">
        <v>60</v>
      </c>
      <c r="H203" t="s">
        <v>54</v>
      </c>
      <c r="I203">
        <v>4</v>
      </c>
      <c r="J203" s="11">
        <v>1932260</v>
      </c>
      <c r="K203" s="11">
        <v>35000</v>
      </c>
      <c r="L203" t="s">
        <v>245</v>
      </c>
      <c r="M203" t="s">
        <v>67</v>
      </c>
      <c r="N203" t="s">
        <v>61</v>
      </c>
    </row>
    <row r="204" spans="1:15" x14ac:dyDescent="0.25">
      <c r="A204" t="s">
        <v>514</v>
      </c>
      <c r="B204" t="s">
        <v>430</v>
      </c>
      <c r="C204" t="s">
        <v>45</v>
      </c>
      <c r="D204" s="6">
        <v>46063</v>
      </c>
      <c r="E204" t="s">
        <v>31</v>
      </c>
      <c r="F204" t="s">
        <v>59</v>
      </c>
      <c r="G204" t="s">
        <v>60</v>
      </c>
      <c r="H204" t="s">
        <v>76</v>
      </c>
      <c r="I204">
        <v>3</v>
      </c>
      <c r="J204" s="11">
        <v>1268300</v>
      </c>
      <c r="K204" s="11">
        <v>50000</v>
      </c>
      <c r="L204" t="s">
        <v>35</v>
      </c>
      <c r="M204" t="s">
        <v>67</v>
      </c>
      <c r="N204" t="s">
        <v>61</v>
      </c>
    </row>
    <row r="205" spans="1:15" x14ac:dyDescent="0.25">
      <c r="A205" t="s">
        <v>516</v>
      </c>
      <c r="B205" t="s">
        <v>517</v>
      </c>
      <c r="C205" t="s">
        <v>470</v>
      </c>
      <c r="D205" s="6">
        <v>46042</v>
      </c>
      <c r="E205" t="s">
        <v>31</v>
      </c>
      <c r="F205" t="s">
        <v>32</v>
      </c>
      <c r="G205" t="s">
        <v>85</v>
      </c>
      <c r="H205" t="s">
        <v>76</v>
      </c>
      <c r="I205">
        <v>7</v>
      </c>
      <c r="J205" s="11">
        <v>561343</v>
      </c>
      <c r="K205" s="11">
        <v>50000</v>
      </c>
      <c r="L205" t="s">
        <v>35</v>
      </c>
      <c r="M205" t="s">
        <v>36</v>
      </c>
      <c r="N205" t="s">
        <v>61</v>
      </c>
    </row>
    <row r="206" spans="1:15" hidden="1" x14ac:dyDescent="0.25">
      <c r="A206" t="s">
        <v>518</v>
      </c>
      <c r="B206" t="s">
        <v>519</v>
      </c>
      <c r="C206" t="s">
        <v>377</v>
      </c>
      <c r="D206" s="6">
        <v>46029</v>
      </c>
      <c r="E206" t="s">
        <v>31</v>
      </c>
      <c r="F206" t="s">
        <v>59</v>
      </c>
      <c r="G206" t="s">
        <v>81</v>
      </c>
      <c r="H206" t="s">
        <v>54</v>
      </c>
      <c r="I206">
        <v>4</v>
      </c>
      <c r="J206" s="11">
        <v>427004</v>
      </c>
      <c r="K206" s="11">
        <v>35000</v>
      </c>
      <c r="L206" t="s">
        <v>35</v>
      </c>
      <c r="M206" t="s">
        <v>36</v>
      </c>
      <c r="N206" t="s">
        <v>37</v>
      </c>
    </row>
    <row r="207" spans="1:15" hidden="1" x14ac:dyDescent="0.25">
      <c r="A207" t="s">
        <v>520</v>
      </c>
      <c r="B207" t="s">
        <v>164</v>
      </c>
      <c r="C207" t="s">
        <v>165</v>
      </c>
      <c r="D207" s="6">
        <v>46057</v>
      </c>
      <c r="E207" t="s">
        <v>31</v>
      </c>
      <c r="F207" t="s">
        <v>59</v>
      </c>
      <c r="G207" t="s">
        <v>85</v>
      </c>
      <c r="H207" t="s">
        <v>47</v>
      </c>
      <c r="I207">
        <v>4</v>
      </c>
      <c r="J207" s="11">
        <v>1492000</v>
      </c>
      <c r="K207" s="11">
        <v>35000</v>
      </c>
      <c r="L207" t="s">
        <v>35</v>
      </c>
      <c r="M207" t="s">
        <v>67</v>
      </c>
      <c r="N207" t="s">
        <v>37</v>
      </c>
    </row>
    <row r="208" spans="1:15" x14ac:dyDescent="0.25">
      <c r="A208" t="s">
        <v>521</v>
      </c>
      <c r="B208" t="s">
        <v>392</v>
      </c>
      <c r="C208" t="s">
        <v>393</v>
      </c>
      <c r="D208" s="6">
        <v>46064</v>
      </c>
      <c r="E208" t="s">
        <v>53</v>
      </c>
      <c r="F208" t="s">
        <v>59</v>
      </c>
      <c r="G208" t="s">
        <v>85</v>
      </c>
      <c r="H208" t="s">
        <v>54</v>
      </c>
      <c r="I208">
        <v>5</v>
      </c>
      <c r="J208" s="11">
        <v>835502</v>
      </c>
      <c r="K208" s="11">
        <v>0</v>
      </c>
      <c r="L208" t="s">
        <v>35</v>
      </c>
      <c r="M208" t="s">
        <v>67</v>
      </c>
      <c r="N208" t="s">
        <v>61</v>
      </c>
      <c r="O208" t="s">
        <v>1377</v>
      </c>
    </row>
    <row r="209" spans="1:15" x14ac:dyDescent="0.25">
      <c r="A209" t="s">
        <v>522</v>
      </c>
      <c r="B209" t="s">
        <v>399</v>
      </c>
      <c r="C209" t="s">
        <v>111</v>
      </c>
      <c r="D209" s="6">
        <v>46092</v>
      </c>
      <c r="E209" t="s">
        <v>53</v>
      </c>
      <c r="F209" t="s">
        <v>42</v>
      </c>
      <c r="G209" t="s">
        <v>60</v>
      </c>
      <c r="H209" t="s">
        <v>54</v>
      </c>
      <c r="I209">
        <v>3</v>
      </c>
      <c r="J209" s="11">
        <v>763810</v>
      </c>
      <c r="K209" s="11">
        <v>35000</v>
      </c>
      <c r="L209" t="s">
        <v>35</v>
      </c>
      <c r="M209" t="s">
        <v>36</v>
      </c>
      <c r="N209" t="s">
        <v>61</v>
      </c>
    </row>
    <row r="210" spans="1:15" x14ac:dyDescent="0.25">
      <c r="A210" t="s">
        <v>523</v>
      </c>
      <c r="B210" t="s">
        <v>438</v>
      </c>
      <c r="C210" t="s">
        <v>244</v>
      </c>
      <c r="D210" s="6">
        <v>46199</v>
      </c>
      <c r="E210" t="s">
        <v>41</v>
      </c>
      <c r="F210" t="s">
        <v>42</v>
      </c>
      <c r="G210" t="s">
        <v>85</v>
      </c>
      <c r="H210" t="s">
        <v>66</v>
      </c>
      <c r="I210">
        <v>1</v>
      </c>
      <c r="J210" s="11">
        <v>1413205</v>
      </c>
      <c r="K210" s="11">
        <v>35000</v>
      </c>
      <c r="L210" t="s">
        <v>35</v>
      </c>
      <c r="M210" t="s">
        <v>67</v>
      </c>
      <c r="N210" t="s">
        <v>61</v>
      </c>
    </row>
    <row r="211" spans="1:15" x14ac:dyDescent="0.25">
      <c r="A211" t="s">
        <v>524</v>
      </c>
      <c r="B211" t="s">
        <v>240</v>
      </c>
      <c r="C211" t="s">
        <v>241</v>
      </c>
      <c r="D211" s="6">
        <v>46046</v>
      </c>
      <c r="E211" t="s">
        <v>58</v>
      </c>
      <c r="F211" t="s">
        <v>42</v>
      </c>
      <c r="G211" t="s">
        <v>81</v>
      </c>
      <c r="H211" t="s">
        <v>34</v>
      </c>
      <c r="I211">
        <v>1</v>
      </c>
      <c r="J211" s="11">
        <v>187270</v>
      </c>
      <c r="K211" s="11">
        <v>35000</v>
      </c>
      <c r="L211" t="s">
        <v>89</v>
      </c>
      <c r="M211" t="s">
        <v>36</v>
      </c>
      <c r="N211" t="s">
        <v>61</v>
      </c>
    </row>
    <row r="212" spans="1:15" hidden="1" x14ac:dyDescent="0.25">
      <c r="A212" t="s">
        <v>525</v>
      </c>
      <c r="B212" t="s">
        <v>56</v>
      </c>
      <c r="C212" t="s">
        <v>57</v>
      </c>
      <c r="D212" s="6">
        <v>46129</v>
      </c>
      <c r="E212" t="s">
        <v>31</v>
      </c>
      <c r="F212" t="s">
        <v>42</v>
      </c>
      <c r="G212" t="s">
        <v>46</v>
      </c>
      <c r="H212" t="s">
        <v>47</v>
      </c>
      <c r="I212">
        <v>7</v>
      </c>
      <c r="J212" s="11">
        <v>2269581</v>
      </c>
      <c r="K212" s="11">
        <v>0</v>
      </c>
      <c r="L212" t="s">
        <v>35</v>
      </c>
      <c r="M212" t="s">
        <v>36</v>
      </c>
      <c r="N212" t="s">
        <v>37</v>
      </c>
      <c r="O212" t="s">
        <v>1377</v>
      </c>
    </row>
    <row r="213" spans="1:15" hidden="1" x14ac:dyDescent="0.25">
      <c r="A213" t="s">
        <v>526</v>
      </c>
      <c r="B213" t="s">
        <v>146</v>
      </c>
      <c r="C213" t="s">
        <v>40</v>
      </c>
      <c r="D213" s="6">
        <v>46082</v>
      </c>
      <c r="E213" t="s">
        <v>80</v>
      </c>
      <c r="F213" t="s">
        <v>65</v>
      </c>
      <c r="G213" t="s">
        <v>60</v>
      </c>
      <c r="H213" t="s">
        <v>34</v>
      </c>
      <c r="I213">
        <v>3</v>
      </c>
      <c r="J213" s="11">
        <v>1016658</v>
      </c>
      <c r="K213" s="11">
        <v>0</v>
      </c>
      <c r="L213" t="s">
        <v>35</v>
      </c>
      <c r="M213" t="s">
        <v>67</v>
      </c>
      <c r="N213" t="s">
        <v>37</v>
      </c>
      <c r="O213" t="s">
        <v>1377</v>
      </c>
    </row>
    <row r="214" spans="1:15" x14ac:dyDescent="0.25">
      <c r="A214" t="s">
        <v>527</v>
      </c>
      <c r="B214" t="s">
        <v>528</v>
      </c>
      <c r="C214" t="s">
        <v>170</v>
      </c>
      <c r="D214" s="6">
        <v>46039</v>
      </c>
      <c r="E214" t="s">
        <v>41</v>
      </c>
      <c r="F214" t="s">
        <v>32</v>
      </c>
      <c r="G214" t="s">
        <v>46</v>
      </c>
      <c r="H214" t="s">
        <v>47</v>
      </c>
      <c r="I214">
        <v>3</v>
      </c>
      <c r="J214" s="11">
        <v>1287935</v>
      </c>
      <c r="K214" s="11">
        <v>50000</v>
      </c>
      <c r="L214" t="s">
        <v>35</v>
      </c>
      <c r="M214" t="s">
        <v>71</v>
      </c>
      <c r="N214" t="s">
        <v>61</v>
      </c>
    </row>
    <row r="215" spans="1:15" hidden="1" x14ac:dyDescent="0.25">
      <c r="A215" t="s">
        <v>529</v>
      </c>
      <c r="B215" t="s">
        <v>530</v>
      </c>
      <c r="C215" t="s">
        <v>382</v>
      </c>
      <c r="D215" s="6">
        <v>46160</v>
      </c>
      <c r="E215" t="s">
        <v>41</v>
      </c>
      <c r="F215" t="s">
        <v>42</v>
      </c>
      <c r="G215" t="s">
        <v>33</v>
      </c>
      <c r="H215" t="s">
        <v>34</v>
      </c>
      <c r="I215">
        <v>1</v>
      </c>
      <c r="J215" s="11">
        <v>839151</v>
      </c>
      <c r="K215" s="11">
        <v>25000</v>
      </c>
      <c r="L215" t="s">
        <v>35</v>
      </c>
      <c r="M215" t="s">
        <v>49</v>
      </c>
      <c r="N215" t="s">
        <v>37</v>
      </c>
    </row>
    <row r="216" spans="1:15" x14ac:dyDescent="0.25">
      <c r="A216" t="s">
        <v>531</v>
      </c>
      <c r="B216" t="s">
        <v>532</v>
      </c>
      <c r="C216" t="s">
        <v>98</v>
      </c>
      <c r="D216" s="6">
        <v>46193</v>
      </c>
      <c r="E216" t="s">
        <v>41</v>
      </c>
      <c r="F216" t="s">
        <v>59</v>
      </c>
      <c r="G216" t="s">
        <v>46</v>
      </c>
      <c r="H216" t="s">
        <v>34</v>
      </c>
      <c r="I216">
        <v>3</v>
      </c>
      <c r="J216" s="11">
        <v>2142201</v>
      </c>
      <c r="K216" s="11">
        <v>0</v>
      </c>
      <c r="L216" t="s">
        <v>35</v>
      </c>
      <c r="M216" t="s">
        <v>71</v>
      </c>
      <c r="N216" t="s">
        <v>61</v>
      </c>
      <c r="O216" t="s">
        <v>1377</v>
      </c>
    </row>
    <row r="217" spans="1:15" hidden="1" x14ac:dyDescent="0.25">
      <c r="A217" t="s">
        <v>534</v>
      </c>
      <c r="B217" t="s">
        <v>505</v>
      </c>
      <c r="C217" t="s">
        <v>470</v>
      </c>
      <c r="D217" s="6">
        <v>46028</v>
      </c>
      <c r="E217" t="s">
        <v>53</v>
      </c>
      <c r="F217" t="s">
        <v>65</v>
      </c>
      <c r="G217" t="s">
        <v>81</v>
      </c>
      <c r="H217" t="s">
        <v>34</v>
      </c>
      <c r="I217">
        <v>2</v>
      </c>
      <c r="J217" s="11">
        <v>640329</v>
      </c>
      <c r="K217" s="11">
        <v>25000</v>
      </c>
      <c r="L217" t="s">
        <v>35</v>
      </c>
      <c r="M217" t="s">
        <v>36</v>
      </c>
      <c r="N217" t="s">
        <v>37</v>
      </c>
    </row>
    <row r="218" spans="1:15" x14ac:dyDescent="0.25">
      <c r="A218" t="s">
        <v>535</v>
      </c>
      <c r="B218" t="s">
        <v>231</v>
      </c>
      <c r="C218" t="s">
        <v>198</v>
      </c>
      <c r="D218" s="6">
        <v>46098</v>
      </c>
      <c r="E218" t="s">
        <v>53</v>
      </c>
      <c r="F218" t="s">
        <v>59</v>
      </c>
      <c r="G218" t="s">
        <v>75</v>
      </c>
      <c r="H218" t="s">
        <v>66</v>
      </c>
      <c r="I218">
        <v>4</v>
      </c>
      <c r="J218" s="11">
        <v>967298</v>
      </c>
      <c r="K218" s="11">
        <v>15000</v>
      </c>
      <c r="L218" t="s">
        <v>35</v>
      </c>
      <c r="M218" t="s">
        <v>67</v>
      </c>
      <c r="N218" t="s">
        <v>61</v>
      </c>
    </row>
    <row r="219" spans="1:15" hidden="1" x14ac:dyDescent="0.25">
      <c r="A219" t="s">
        <v>536</v>
      </c>
      <c r="B219" t="s">
        <v>51</v>
      </c>
      <c r="C219" t="s">
        <v>52</v>
      </c>
      <c r="D219" s="6">
        <v>46104</v>
      </c>
      <c r="E219" t="s">
        <v>58</v>
      </c>
      <c r="F219" t="s">
        <v>42</v>
      </c>
      <c r="G219" t="s">
        <v>75</v>
      </c>
      <c r="H219" t="s">
        <v>66</v>
      </c>
      <c r="I219">
        <v>7</v>
      </c>
      <c r="J219" s="11">
        <v>286125</v>
      </c>
      <c r="K219" s="11">
        <v>50000</v>
      </c>
      <c r="L219" t="s">
        <v>89</v>
      </c>
      <c r="M219" t="s">
        <v>36</v>
      </c>
      <c r="N219" t="s">
        <v>37</v>
      </c>
    </row>
    <row r="220" spans="1:15" x14ac:dyDescent="0.25">
      <c r="A220" t="s">
        <v>537</v>
      </c>
      <c r="B220" t="s">
        <v>538</v>
      </c>
      <c r="C220" t="s">
        <v>104</v>
      </c>
      <c r="D220" s="6">
        <v>46075</v>
      </c>
      <c r="E220" t="s">
        <v>31</v>
      </c>
      <c r="F220" t="s">
        <v>59</v>
      </c>
      <c r="G220" t="s">
        <v>46</v>
      </c>
      <c r="H220" t="s">
        <v>66</v>
      </c>
      <c r="I220">
        <v>6</v>
      </c>
      <c r="J220" s="11">
        <v>2382037</v>
      </c>
      <c r="K220" s="11">
        <v>0</v>
      </c>
      <c r="L220" t="s">
        <v>89</v>
      </c>
      <c r="M220" t="s">
        <v>71</v>
      </c>
      <c r="N220" t="s">
        <v>61</v>
      </c>
      <c r="O220" t="s">
        <v>1377</v>
      </c>
    </row>
    <row r="221" spans="1:15" x14ac:dyDescent="0.25">
      <c r="A221" t="s">
        <v>539</v>
      </c>
      <c r="B221" t="s">
        <v>216</v>
      </c>
      <c r="C221" t="s">
        <v>133</v>
      </c>
      <c r="D221" s="6">
        <v>46184</v>
      </c>
      <c r="E221" t="s">
        <v>58</v>
      </c>
      <c r="F221" t="s">
        <v>42</v>
      </c>
      <c r="G221" t="s">
        <v>85</v>
      </c>
      <c r="H221" t="s">
        <v>34</v>
      </c>
      <c r="I221">
        <v>7</v>
      </c>
      <c r="J221" s="11">
        <v>145344</v>
      </c>
      <c r="K221" s="11">
        <v>0</v>
      </c>
      <c r="L221" t="s">
        <v>35</v>
      </c>
      <c r="M221" t="s">
        <v>49</v>
      </c>
      <c r="N221" t="s">
        <v>61</v>
      </c>
      <c r="O221" t="s">
        <v>1377</v>
      </c>
    </row>
    <row r="222" spans="1:15" x14ac:dyDescent="0.25">
      <c r="A222" t="s">
        <v>540</v>
      </c>
      <c r="B222" t="s">
        <v>364</v>
      </c>
      <c r="C222" t="s">
        <v>70</v>
      </c>
      <c r="D222" s="6">
        <v>46174</v>
      </c>
      <c r="E222" t="s">
        <v>41</v>
      </c>
      <c r="F222" t="s">
        <v>32</v>
      </c>
      <c r="G222" t="s">
        <v>85</v>
      </c>
      <c r="H222" t="s">
        <v>34</v>
      </c>
      <c r="I222">
        <v>2</v>
      </c>
      <c r="J222" s="11">
        <v>2422031</v>
      </c>
      <c r="K222" s="11">
        <v>15000</v>
      </c>
      <c r="L222" t="s">
        <v>35</v>
      </c>
      <c r="M222" t="s">
        <v>36</v>
      </c>
      <c r="N222" t="s">
        <v>61</v>
      </c>
    </row>
    <row r="223" spans="1:15" hidden="1" x14ac:dyDescent="0.25">
      <c r="A223" t="s">
        <v>541</v>
      </c>
      <c r="B223" t="s">
        <v>169</v>
      </c>
      <c r="C223" t="s">
        <v>170</v>
      </c>
      <c r="D223" s="6">
        <v>46068</v>
      </c>
      <c r="E223" t="s">
        <v>31</v>
      </c>
      <c r="F223" t="s">
        <v>32</v>
      </c>
      <c r="G223" t="s">
        <v>60</v>
      </c>
      <c r="H223" t="s">
        <v>54</v>
      </c>
      <c r="I223">
        <v>3</v>
      </c>
      <c r="J223" s="11">
        <v>1164253</v>
      </c>
      <c r="K223" s="11">
        <v>25000</v>
      </c>
      <c r="L223" t="s">
        <v>35</v>
      </c>
      <c r="M223" t="s">
        <v>49</v>
      </c>
      <c r="N223" t="s">
        <v>37</v>
      </c>
    </row>
    <row r="224" spans="1:15" hidden="1" x14ac:dyDescent="0.25">
      <c r="A224" t="s">
        <v>542</v>
      </c>
      <c r="B224" t="s">
        <v>344</v>
      </c>
      <c r="C224" t="s">
        <v>119</v>
      </c>
      <c r="D224" s="6">
        <v>46119</v>
      </c>
      <c r="E224" t="s">
        <v>41</v>
      </c>
      <c r="F224" t="s">
        <v>42</v>
      </c>
      <c r="G224" t="s">
        <v>60</v>
      </c>
      <c r="H224" t="s">
        <v>54</v>
      </c>
      <c r="I224">
        <v>4</v>
      </c>
      <c r="J224" s="11">
        <v>823661</v>
      </c>
      <c r="K224" s="11">
        <v>35000</v>
      </c>
      <c r="L224" t="s">
        <v>35</v>
      </c>
      <c r="M224" t="s">
        <v>36</v>
      </c>
      <c r="N224" t="s">
        <v>37</v>
      </c>
    </row>
    <row r="225" spans="1:15" hidden="1" x14ac:dyDescent="0.25">
      <c r="A225" t="s">
        <v>543</v>
      </c>
      <c r="B225" t="s">
        <v>544</v>
      </c>
      <c r="C225" t="s">
        <v>377</v>
      </c>
      <c r="D225" s="6">
        <v>46044</v>
      </c>
      <c r="E225" t="s">
        <v>80</v>
      </c>
      <c r="F225" t="s">
        <v>59</v>
      </c>
      <c r="G225" t="s">
        <v>60</v>
      </c>
      <c r="H225" t="s">
        <v>66</v>
      </c>
      <c r="I225">
        <v>5</v>
      </c>
      <c r="J225" s="11">
        <v>1379262</v>
      </c>
      <c r="K225" s="11">
        <v>50000</v>
      </c>
      <c r="L225" t="s">
        <v>35</v>
      </c>
      <c r="M225" t="s">
        <v>36</v>
      </c>
      <c r="N225" t="s">
        <v>37</v>
      </c>
    </row>
    <row r="226" spans="1:15" x14ac:dyDescent="0.25">
      <c r="A226" t="s">
        <v>545</v>
      </c>
      <c r="B226" t="s">
        <v>302</v>
      </c>
      <c r="C226" t="s">
        <v>111</v>
      </c>
      <c r="D226" s="6">
        <v>46119</v>
      </c>
      <c r="E226" t="s">
        <v>41</v>
      </c>
      <c r="F226" t="s">
        <v>42</v>
      </c>
      <c r="G226" t="s">
        <v>85</v>
      </c>
      <c r="H226" t="s">
        <v>34</v>
      </c>
      <c r="I226">
        <v>4</v>
      </c>
      <c r="J226" s="11">
        <v>2477794</v>
      </c>
      <c r="K226" s="11">
        <v>50000</v>
      </c>
      <c r="L226" t="s">
        <v>35</v>
      </c>
      <c r="M226" t="s">
        <v>67</v>
      </c>
      <c r="N226" t="s">
        <v>61</v>
      </c>
    </row>
    <row r="227" spans="1:15" x14ac:dyDescent="0.25">
      <c r="A227" t="s">
        <v>546</v>
      </c>
      <c r="B227" t="s">
        <v>194</v>
      </c>
      <c r="C227" t="s">
        <v>195</v>
      </c>
      <c r="D227" s="6">
        <v>46151</v>
      </c>
      <c r="E227" t="s">
        <v>80</v>
      </c>
      <c r="F227" t="s">
        <v>59</v>
      </c>
      <c r="G227" t="s">
        <v>60</v>
      </c>
      <c r="H227" t="s">
        <v>66</v>
      </c>
      <c r="I227">
        <v>4</v>
      </c>
      <c r="J227" s="11">
        <v>1689751</v>
      </c>
      <c r="K227" s="11">
        <v>35000</v>
      </c>
      <c r="L227" t="s">
        <v>245</v>
      </c>
      <c r="M227" t="s">
        <v>49</v>
      </c>
      <c r="N227" t="s">
        <v>61</v>
      </c>
    </row>
    <row r="228" spans="1:15" hidden="1" x14ac:dyDescent="0.25">
      <c r="A228" t="s">
        <v>548</v>
      </c>
      <c r="B228" t="s">
        <v>549</v>
      </c>
      <c r="C228" t="s">
        <v>198</v>
      </c>
      <c r="D228" s="6">
        <v>46032</v>
      </c>
      <c r="E228" t="s">
        <v>80</v>
      </c>
      <c r="F228" t="s">
        <v>32</v>
      </c>
      <c r="G228" t="s">
        <v>46</v>
      </c>
      <c r="H228" t="s">
        <v>47</v>
      </c>
      <c r="I228">
        <v>5</v>
      </c>
      <c r="J228" s="11">
        <v>642096</v>
      </c>
      <c r="K228" s="11">
        <v>35000</v>
      </c>
      <c r="L228" t="s">
        <v>35</v>
      </c>
      <c r="M228" t="s">
        <v>36</v>
      </c>
      <c r="N228" t="s">
        <v>37</v>
      </c>
    </row>
    <row r="229" spans="1:15" hidden="1" x14ac:dyDescent="0.25">
      <c r="A229" t="s">
        <v>550</v>
      </c>
      <c r="B229" t="s">
        <v>551</v>
      </c>
      <c r="C229" t="s">
        <v>84</v>
      </c>
      <c r="D229" s="6">
        <v>46037</v>
      </c>
      <c r="E229" t="s">
        <v>80</v>
      </c>
      <c r="F229" t="s">
        <v>65</v>
      </c>
      <c r="G229" t="s">
        <v>75</v>
      </c>
      <c r="H229" t="s">
        <v>34</v>
      </c>
      <c r="I229">
        <v>6</v>
      </c>
      <c r="J229" s="11">
        <v>1736204</v>
      </c>
      <c r="K229" s="11">
        <v>35000</v>
      </c>
      <c r="L229" t="s">
        <v>35</v>
      </c>
      <c r="M229" t="s">
        <v>36</v>
      </c>
      <c r="N229" t="s">
        <v>37</v>
      </c>
    </row>
    <row r="230" spans="1:15" hidden="1" x14ac:dyDescent="0.25">
      <c r="A230" t="s">
        <v>552</v>
      </c>
      <c r="B230" t="s">
        <v>44</v>
      </c>
      <c r="C230" t="s">
        <v>45</v>
      </c>
      <c r="D230" s="6">
        <v>46139</v>
      </c>
      <c r="E230" t="s">
        <v>31</v>
      </c>
      <c r="F230" t="s">
        <v>65</v>
      </c>
      <c r="G230" t="s">
        <v>81</v>
      </c>
      <c r="H230" t="s">
        <v>54</v>
      </c>
      <c r="I230">
        <v>2</v>
      </c>
      <c r="J230" s="11">
        <v>738103</v>
      </c>
      <c r="K230" s="11">
        <v>25000</v>
      </c>
      <c r="L230" t="s">
        <v>35</v>
      </c>
      <c r="M230" t="s">
        <v>49</v>
      </c>
      <c r="N230" t="s">
        <v>37</v>
      </c>
    </row>
    <row r="231" spans="1:15" hidden="1" x14ac:dyDescent="0.25">
      <c r="A231" t="s">
        <v>553</v>
      </c>
      <c r="B231" t="s">
        <v>344</v>
      </c>
      <c r="C231" t="s">
        <v>119</v>
      </c>
      <c r="D231" s="6">
        <v>46203</v>
      </c>
      <c r="E231" t="s">
        <v>80</v>
      </c>
      <c r="F231" t="s">
        <v>59</v>
      </c>
      <c r="G231" t="s">
        <v>46</v>
      </c>
      <c r="H231" t="s">
        <v>66</v>
      </c>
      <c r="I231">
        <v>2</v>
      </c>
      <c r="J231" s="11">
        <v>457005</v>
      </c>
      <c r="K231" s="11">
        <v>50000</v>
      </c>
      <c r="L231" t="s">
        <v>48</v>
      </c>
      <c r="M231" t="s">
        <v>71</v>
      </c>
      <c r="N231" t="s">
        <v>37</v>
      </c>
    </row>
    <row r="232" spans="1:15" x14ac:dyDescent="0.25">
      <c r="A232" t="s">
        <v>554</v>
      </c>
      <c r="B232" t="s">
        <v>555</v>
      </c>
      <c r="C232" t="s">
        <v>238</v>
      </c>
      <c r="E232" t="s">
        <v>31</v>
      </c>
      <c r="F232" t="s">
        <v>59</v>
      </c>
      <c r="G232" t="s">
        <v>75</v>
      </c>
      <c r="H232" t="s">
        <v>66</v>
      </c>
      <c r="I232">
        <v>7</v>
      </c>
      <c r="J232" s="11">
        <v>578328</v>
      </c>
      <c r="K232" s="11">
        <v>50000</v>
      </c>
      <c r="L232" t="s">
        <v>48</v>
      </c>
      <c r="M232" t="s">
        <v>36</v>
      </c>
      <c r="N232" t="s">
        <v>61</v>
      </c>
      <c r="O232" t="s">
        <v>1375</v>
      </c>
    </row>
    <row r="233" spans="1:15" x14ac:dyDescent="0.25">
      <c r="A233" t="s">
        <v>557</v>
      </c>
      <c r="B233" t="s">
        <v>503</v>
      </c>
      <c r="C233" t="s">
        <v>141</v>
      </c>
      <c r="D233" s="6">
        <v>46148</v>
      </c>
      <c r="E233" t="s">
        <v>41</v>
      </c>
      <c r="F233" t="s">
        <v>32</v>
      </c>
      <c r="G233" t="s">
        <v>75</v>
      </c>
      <c r="H233" t="s">
        <v>47</v>
      </c>
      <c r="I233">
        <v>1</v>
      </c>
      <c r="J233" s="11">
        <v>126621</v>
      </c>
      <c r="K233" s="11">
        <v>0</v>
      </c>
      <c r="L233" t="s">
        <v>35</v>
      </c>
      <c r="M233" t="s">
        <v>36</v>
      </c>
      <c r="N233" t="s">
        <v>61</v>
      </c>
      <c r="O233" t="s">
        <v>1377</v>
      </c>
    </row>
    <row r="234" spans="1:15" x14ac:dyDescent="0.25">
      <c r="A234" t="s">
        <v>560</v>
      </c>
      <c r="B234" t="s">
        <v>486</v>
      </c>
      <c r="C234" t="s">
        <v>170</v>
      </c>
      <c r="D234" s="6">
        <v>46118</v>
      </c>
      <c r="E234" t="s">
        <v>58</v>
      </c>
      <c r="F234" t="s">
        <v>59</v>
      </c>
      <c r="G234" t="s">
        <v>46</v>
      </c>
      <c r="H234" t="s">
        <v>34</v>
      </c>
      <c r="I234">
        <v>2</v>
      </c>
      <c r="J234" s="11">
        <v>901818</v>
      </c>
      <c r="K234" s="11">
        <v>15000</v>
      </c>
      <c r="L234" t="s">
        <v>35</v>
      </c>
      <c r="M234" t="s">
        <v>36</v>
      </c>
      <c r="N234" t="s">
        <v>61</v>
      </c>
    </row>
    <row r="235" spans="1:15" x14ac:dyDescent="0.25">
      <c r="A235" t="s">
        <v>561</v>
      </c>
      <c r="B235" t="s">
        <v>240</v>
      </c>
      <c r="C235" t="s">
        <v>241</v>
      </c>
      <c r="D235" s="6">
        <v>46038</v>
      </c>
      <c r="E235" t="s">
        <v>53</v>
      </c>
      <c r="F235" t="s">
        <v>65</v>
      </c>
      <c r="G235" t="s">
        <v>75</v>
      </c>
      <c r="H235" t="s">
        <v>34</v>
      </c>
      <c r="I235">
        <v>3</v>
      </c>
      <c r="J235" s="11">
        <v>886422</v>
      </c>
      <c r="K235" s="11">
        <v>15000</v>
      </c>
      <c r="L235" t="s">
        <v>89</v>
      </c>
      <c r="M235" t="s">
        <v>71</v>
      </c>
      <c r="N235" t="s">
        <v>61</v>
      </c>
    </row>
    <row r="236" spans="1:15" x14ac:dyDescent="0.25">
      <c r="A236" t="s">
        <v>562</v>
      </c>
      <c r="B236" t="s">
        <v>333</v>
      </c>
      <c r="C236" t="s">
        <v>334</v>
      </c>
      <c r="D236" s="6">
        <v>46044</v>
      </c>
      <c r="E236" t="s">
        <v>31</v>
      </c>
      <c r="F236" t="s">
        <v>59</v>
      </c>
      <c r="G236" t="s">
        <v>60</v>
      </c>
      <c r="H236" t="s">
        <v>54</v>
      </c>
      <c r="I236">
        <v>3</v>
      </c>
      <c r="J236" s="11">
        <v>1704308</v>
      </c>
      <c r="K236" s="11">
        <v>0</v>
      </c>
      <c r="L236" t="s">
        <v>35</v>
      </c>
      <c r="M236" t="s">
        <v>67</v>
      </c>
      <c r="N236" t="s">
        <v>61</v>
      </c>
      <c r="O236" t="s">
        <v>1377</v>
      </c>
    </row>
    <row r="237" spans="1:15" hidden="1" x14ac:dyDescent="0.25">
      <c r="A237" t="s">
        <v>563</v>
      </c>
      <c r="B237" t="s">
        <v>427</v>
      </c>
      <c r="C237" t="s">
        <v>388</v>
      </c>
      <c r="D237" s="6">
        <v>46091</v>
      </c>
      <c r="E237" t="s">
        <v>58</v>
      </c>
      <c r="F237" t="s">
        <v>59</v>
      </c>
      <c r="G237" t="s">
        <v>46</v>
      </c>
      <c r="H237" t="s">
        <v>76</v>
      </c>
      <c r="I237">
        <v>7</v>
      </c>
      <c r="J237" s="11">
        <v>150310</v>
      </c>
      <c r="K237" s="11">
        <v>50000</v>
      </c>
      <c r="L237" t="s">
        <v>89</v>
      </c>
      <c r="M237" t="s">
        <v>71</v>
      </c>
      <c r="N237" t="s">
        <v>37</v>
      </c>
    </row>
    <row r="238" spans="1:15" hidden="1" x14ac:dyDescent="0.25">
      <c r="A238" t="s">
        <v>564</v>
      </c>
      <c r="B238" t="s">
        <v>565</v>
      </c>
      <c r="C238" t="s">
        <v>114</v>
      </c>
      <c r="D238" s="6">
        <v>46147</v>
      </c>
      <c r="E238" t="s">
        <v>80</v>
      </c>
      <c r="F238" t="s">
        <v>32</v>
      </c>
      <c r="G238" t="s">
        <v>85</v>
      </c>
      <c r="H238" t="s">
        <v>66</v>
      </c>
      <c r="I238">
        <v>5</v>
      </c>
      <c r="J238" s="11">
        <v>2104877</v>
      </c>
      <c r="K238" s="11">
        <v>25000</v>
      </c>
      <c r="L238" t="s">
        <v>35</v>
      </c>
      <c r="M238" t="s">
        <v>36</v>
      </c>
      <c r="N238" t="s">
        <v>37</v>
      </c>
    </row>
    <row r="239" spans="1:15" x14ac:dyDescent="0.25">
      <c r="A239" t="s">
        <v>566</v>
      </c>
      <c r="B239" t="s">
        <v>567</v>
      </c>
      <c r="C239" t="s">
        <v>198</v>
      </c>
      <c r="D239" s="6">
        <v>46179</v>
      </c>
      <c r="E239" t="s">
        <v>41</v>
      </c>
      <c r="F239" t="s">
        <v>59</v>
      </c>
      <c r="G239" t="s">
        <v>75</v>
      </c>
      <c r="H239" t="s">
        <v>34</v>
      </c>
      <c r="I239">
        <v>7</v>
      </c>
      <c r="J239" s="11">
        <v>360088</v>
      </c>
      <c r="K239" s="11">
        <v>25000</v>
      </c>
      <c r="L239" t="s">
        <v>35</v>
      </c>
      <c r="M239" t="s">
        <v>67</v>
      </c>
      <c r="N239" t="s">
        <v>61</v>
      </c>
    </row>
    <row r="240" spans="1:15" x14ac:dyDescent="0.25">
      <c r="A240" t="s">
        <v>568</v>
      </c>
      <c r="B240" t="s">
        <v>44</v>
      </c>
      <c r="C240" t="s">
        <v>45</v>
      </c>
      <c r="D240" s="6">
        <v>46054</v>
      </c>
      <c r="E240" t="s">
        <v>41</v>
      </c>
      <c r="F240" t="s">
        <v>59</v>
      </c>
      <c r="G240" t="s">
        <v>46</v>
      </c>
      <c r="H240" t="s">
        <v>47</v>
      </c>
      <c r="I240">
        <v>6</v>
      </c>
      <c r="J240" s="11">
        <v>2345620</v>
      </c>
      <c r="K240" s="11">
        <v>25000</v>
      </c>
      <c r="L240" t="s">
        <v>35</v>
      </c>
      <c r="M240" t="s">
        <v>67</v>
      </c>
      <c r="N240" t="s">
        <v>61</v>
      </c>
    </row>
    <row r="241" spans="1:15" hidden="1" x14ac:dyDescent="0.25">
      <c r="A241" t="s">
        <v>570</v>
      </c>
      <c r="B241" t="s">
        <v>571</v>
      </c>
      <c r="C241" t="s">
        <v>248</v>
      </c>
      <c r="D241" s="6">
        <v>46186</v>
      </c>
      <c r="E241" t="s">
        <v>80</v>
      </c>
      <c r="F241" t="s">
        <v>59</v>
      </c>
      <c r="G241" t="s">
        <v>85</v>
      </c>
      <c r="H241" t="s">
        <v>76</v>
      </c>
      <c r="I241">
        <v>6</v>
      </c>
      <c r="J241" s="11">
        <v>1471335</v>
      </c>
      <c r="K241" s="11">
        <v>0</v>
      </c>
      <c r="L241" t="s">
        <v>35</v>
      </c>
      <c r="M241" t="s">
        <v>67</v>
      </c>
      <c r="N241" t="s">
        <v>37</v>
      </c>
      <c r="O241" t="s">
        <v>1377</v>
      </c>
    </row>
    <row r="242" spans="1:15" hidden="1" x14ac:dyDescent="0.25">
      <c r="A242" t="s">
        <v>572</v>
      </c>
      <c r="B242" t="s">
        <v>573</v>
      </c>
      <c r="C242" t="s">
        <v>195</v>
      </c>
      <c r="D242" s="6">
        <v>46179</v>
      </c>
      <c r="E242" t="s">
        <v>41</v>
      </c>
      <c r="F242" t="s">
        <v>65</v>
      </c>
      <c r="G242" t="s">
        <v>75</v>
      </c>
      <c r="H242" t="s">
        <v>47</v>
      </c>
      <c r="I242">
        <v>4</v>
      </c>
      <c r="J242" s="11">
        <v>461287</v>
      </c>
      <c r="K242" s="11">
        <v>25000</v>
      </c>
      <c r="L242" t="s">
        <v>245</v>
      </c>
      <c r="M242" t="s">
        <v>49</v>
      </c>
      <c r="N242" t="s">
        <v>37</v>
      </c>
    </row>
    <row r="243" spans="1:15" hidden="1" x14ac:dyDescent="0.25">
      <c r="A243" t="s">
        <v>574</v>
      </c>
      <c r="B243" t="s">
        <v>575</v>
      </c>
      <c r="C243" t="s">
        <v>576</v>
      </c>
      <c r="D243" s="6">
        <v>46072</v>
      </c>
      <c r="E243" t="s">
        <v>41</v>
      </c>
      <c r="F243" t="s">
        <v>65</v>
      </c>
      <c r="G243" t="s">
        <v>33</v>
      </c>
      <c r="H243" t="s">
        <v>76</v>
      </c>
      <c r="I243">
        <v>5</v>
      </c>
      <c r="J243" s="11">
        <v>720462</v>
      </c>
      <c r="K243" s="11">
        <v>50000</v>
      </c>
      <c r="L243" t="s">
        <v>48</v>
      </c>
      <c r="M243" t="s">
        <v>67</v>
      </c>
      <c r="N243" t="s">
        <v>37</v>
      </c>
    </row>
    <row r="244" spans="1:15" x14ac:dyDescent="0.25">
      <c r="A244" t="s">
        <v>577</v>
      </c>
      <c r="B244" t="s">
        <v>503</v>
      </c>
      <c r="C244" t="s">
        <v>141</v>
      </c>
      <c r="D244" s="6">
        <v>46137</v>
      </c>
      <c r="E244" t="s">
        <v>31</v>
      </c>
      <c r="F244" t="s">
        <v>65</v>
      </c>
      <c r="G244" t="s">
        <v>81</v>
      </c>
      <c r="H244" t="s">
        <v>47</v>
      </c>
      <c r="I244">
        <v>6</v>
      </c>
      <c r="J244" s="11">
        <v>605191</v>
      </c>
      <c r="K244" s="11">
        <v>35000</v>
      </c>
      <c r="L244" t="s">
        <v>35</v>
      </c>
      <c r="M244" t="s">
        <v>67</v>
      </c>
      <c r="N244" t="s">
        <v>61</v>
      </c>
    </row>
    <row r="245" spans="1:15" x14ac:dyDescent="0.25">
      <c r="A245" t="s">
        <v>578</v>
      </c>
      <c r="B245" t="s">
        <v>579</v>
      </c>
      <c r="C245" t="s">
        <v>30</v>
      </c>
      <c r="D245" s="6">
        <v>46106</v>
      </c>
      <c r="E245" t="s">
        <v>58</v>
      </c>
      <c r="F245" t="s">
        <v>42</v>
      </c>
      <c r="G245" t="s">
        <v>46</v>
      </c>
      <c r="H245" t="s">
        <v>47</v>
      </c>
      <c r="I245">
        <v>2</v>
      </c>
      <c r="J245" s="11">
        <v>1728472</v>
      </c>
      <c r="K245" s="11">
        <v>25000</v>
      </c>
      <c r="L245" t="s">
        <v>35</v>
      </c>
      <c r="M245" t="s">
        <v>36</v>
      </c>
      <c r="N245" t="s">
        <v>61</v>
      </c>
    </row>
    <row r="246" spans="1:15" hidden="1" x14ac:dyDescent="0.25">
      <c r="A246" t="s">
        <v>581</v>
      </c>
      <c r="B246" t="s">
        <v>461</v>
      </c>
      <c r="C246" t="s">
        <v>152</v>
      </c>
      <c r="E246" t="s">
        <v>80</v>
      </c>
      <c r="F246" t="s">
        <v>59</v>
      </c>
      <c r="G246" t="s">
        <v>75</v>
      </c>
      <c r="H246" t="s">
        <v>47</v>
      </c>
      <c r="I246">
        <v>5</v>
      </c>
      <c r="J246" s="11">
        <v>1515869</v>
      </c>
      <c r="K246" s="11">
        <v>15000</v>
      </c>
      <c r="L246" t="s">
        <v>35</v>
      </c>
      <c r="M246" t="s">
        <v>36</v>
      </c>
      <c r="N246" t="s">
        <v>37</v>
      </c>
      <c r="O246" t="s">
        <v>1375</v>
      </c>
    </row>
    <row r="247" spans="1:15" hidden="1" x14ac:dyDescent="0.25">
      <c r="A247" t="s">
        <v>582</v>
      </c>
      <c r="B247" t="s">
        <v>583</v>
      </c>
      <c r="C247" t="s">
        <v>377</v>
      </c>
      <c r="D247" s="6">
        <v>46082</v>
      </c>
      <c r="E247" t="s">
        <v>80</v>
      </c>
      <c r="F247" t="s">
        <v>42</v>
      </c>
      <c r="G247" t="s">
        <v>75</v>
      </c>
      <c r="H247" t="s">
        <v>54</v>
      </c>
      <c r="I247">
        <v>1</v>
      </c>
      <c r="J247" s="11">
        <v>1057640</v>
      </c>
      <c r="K247" s="11">
        <v>25000</v>
      </c>
      <c r="L247" t="s">
        <v>35</v>
      </c>
      <c r="M247" t="s">
        <v>67</v>
      </c>
      <c r="N247" t="s">
        <v>37</v>
      </c>
    </row>
    <row r="248" spans="1:15" hidden="1" x14ac:dyDescent="0.25">
      <c r="A248" t="s">
        <v>585</v>
      </c>
      <c r="B248" t="s">
        <v>39</v>
      </c>
      <c r="C248" t="s">
        <v>40</v>
      </c>
      <c r="D248" s="6">
        <v>46103</v>
      </c>
      <c r="E248" t="s">
        <v>53</v>
      </c>
      <c r="F248" t="s">
        <v>42</v>
      </c>
      <c r="G248" t="s">
        <v>60</v>
      </c>
      <c r="H248" t="s">
        <v>47</v>
      </c>
      <c r="I248">
        <v>6</v>
      </c>
      <c r="J248" s="11">
        <v>1714653</v>
      </c>
      <c r="K248" s="11">
        <v>50000</v>
      </c>
      <c r="L248" t="s">
        <v>35</v>
      </c>
      <c r="M248" t="s">
        <v>67</v>
      </c>
      <c r="N248" t="s">
        <v>37</v>
      </c>
    </row>
    <row r="249" spans="1:15" hidden="1" x14ac:dyDescent="0.25">
      <c r="A249" t="s">
        <v>586</v>
      </c>
      <c r="B249" t="s">
        <v>587</v>
      </c>
      <c r="C249" t="s">
        <v>238</v>
      </c>
      <c r="D249" s="6">
        <v>46116</v>
      </c>
      <c r="E249" t="s">
        <v>41</v>
      </c>
      <c r="F249" t="s">
        <v>65</v>
      </c>
      <c r="G249" t="s">
        <v>46</v>
      </c>
      <c r="H249" t="s">
        <v>47</v>
      </c>
      <c r="I249">
        <v>6</v>
      </c>
      <c r="J249" s="11">
        <v>649771</v>
      </c>
      <c r="K249" s="11">
        <v>50000</v>
      </c>
      <c r="L249" t="s">
        <v>35</v>
      </c>
      <c r="M249" t="s">
        <v>67</v>
      </c>
      <c r="N249" t="s">
        <v>37</v>
      </c>
    </row>
    <row r="250" spans="1:15" hidden="1" x14ac:dyDescent="0.25">
      <c r="A250" t="s">
        <v>588</v>
      </c>
      <c r="B250" t="s">
        <v>128</v>
      </c>
      <c r="C250" t="s">
        <v>129</v>
      </c>
      <c r="D250" s="6">
        <v>46098</v>
      </c>
      <c r="E250" t="s">
        <v>31</v>
      </c>
      <c r="F250" t="s">
        <v>65</v>
      </c>
      <c r="G250" t="s">
        <v>46</v>
      </c>
      <c r="H250" t="s">
        <v>66</v>
      </c>
      <c r="I250">
        <v>6</v>
      </c>
      <c r="J250" s="11">
        <v>1038150</v>
      </c>
      <c r="K250" s="11">
        <v>35000</v>
      </c>
      <c r="L250" t="s">
        <v>35</v>
      </c>
      <c r="M250" t="s">
        <v>36</v>
      </c>
      <c r="N250" t="s">
        <v>37</v>
      </c>
    </row>
    <row r="251" spans="1:15" x14ac:dyDescent="0.25">
      <c r="A251" t="s">
        <v>589</v>
      </c>
      <c r="B251" t="s">
        <v>590</v>
      </c>
      <c r="C251" t="s">
        <v>176</v>
      </c>
      <c r="D251" s="6">
        <v>46199</v>
      </c>
      <c r="E251" t="s">
        <v>31</v>
      </c>
      <c r="F251" t="s">
        <v>59</v>
      </c>
      <c r="G251" t="s">
        <v>33</v>
      </c>
      <c r="H251" t="s">
        <v>47</v>
      </c>
      <c r="I251">
        <v>7</v>
      </c>
      <c r="J251" s="11">
        <v>637845</v>
      </c>
      <c r="K251" s="11">
        <v>25000</v>
      </c>
      <c r="L251" t="s">
        <v>35</v>
      </c>
      <c r="M251" t="s">
        <v>36</v>
      </c>
      <c r="N251" t="s">
        <v>61</v>
      </c>
    </row>
    <row r="252" spans="1:15" hidden="1" x14ac:dyDescent="0.25">
      <c r="A252" t="s">
        <v>591</v>
      </c>
      <c r="B252" t="s">
        <v>212</v>
      </c>
      <c r="C252" t="s">
        <v>213</v>
      </c>
      <c r="D252" s="6">
        <v>46108</v>
      </c>
      <c r="E252" t="s">
        <v>58</v>
      </c>
      <c r="F252" t="s">
        <v>42</v>
      </c>
      <c r="G252" t="s">
        <v>60</v>
      </c>
      <c r="H252" t="s">
        <v>47</v>
      </c>
      <c r="I252">
        <v>7</v>
      </c>
      <c r="J252" s="11">
        <v>760479</v>
      </c>
      <c r="K252" s="11">
        <v>15000</v>
      </c>
      <c r="L252" t="s">
        <v>35</v>
      </c>
      <c r="M252" t="s">
        <v>71</v>
      </c>
      <c r="N252" t="s">
        <v>37</v>
      </c>
    </row>
    <row r="253" spans="1:15" x14ac:dyDescent="0.25">
      <c r="A253" t="s">
        <v>592</v>
      </c>
      <c r="B253" t="s">
        <v>593</v>
      </c>
      <c r="C253" t="s">
        <v>208</v>
      </c>
      <c r="D253" s="6">
        <v>46191</v>
      </c>
      <c r="E253" t="s">
        <v>41</v>
      </c>
      <c r="F253" t="s">
        <v>32</v>
      </c>
      <c r="G253" t="s">
        <v>60</v>
      </c>
      <c r="H253" t="s">
        <v>47</v>
      </c>
      <c r="I253">
        <v>5</v>
      </c>
      <c r="J253" s="11">
        <v>787704</v>
      </c>
      <c r="K253" s="11">
        <v>0</v>
      </c>
      <c r="L253" t="s">
        <v>35</v>
      </c>
      <c r="M253" t="s">
        <v>36</v>
      </c>
      <c r="N253" t="s">
        <v>61</v>
      </c>
      <c r="O253" t="s">
        <v>1377</v>
      </c>
    </row>
    <row r="254" spans="1:15" hidden="1" x14ac:dyDescent="0.25">
      <c r="A254" t="s">
        <v>594</v>
      </c>
      <c r="B254" t="s">
        <v>595</v>
      </c>
      <c r="C254" t="s">
        <v>107</v>
      </c>
      <c r="D254" s="6">
        <v>46095</v>
      </c>
      <c r="E254" t="s">
        <v>53</v>
      </c>
      <c r="F254" t="s">
        <v>65</v>
      </c>
      <c r="G254" t="s">
        <v>75</v>
      </c>
      <c r="H254" t="s">
        <v>66</v>
      </c>
      <c r="I254">
        <v>6</v>
      </c>
      <c r="J254" s="11">
        <v>1304320</v>
      </c>
      <c r="K254" s="11">
        <v>15000</v>
      </c>
      <c r="L254" t="s">
        <v>48</v>
      </c>
      <c r="M254" t="s">
        <v>36</v>
      </c>
      <c r="N254" t="s">
        <v>37</v>
      </c>
    </row>
    <row r="255" spans="1:15" x14ac:dyDescent="0.25">
      <c r="A255" t="s">
        <v>596</v>
      </c>
      <c r="B255" t="s">
        <v>597</v>
      </c>
      <c r="C255" t="s">
        <v>190</v>
      </c>
      <c r="D255" s="6">
        <v>46064</v>
      </c>
      <c r="E255" t="s">
        <v>31</v>
      </c>
      <c r="F255" t="s">
        <v>42</v>
      </c>
      <c r="G255" t="s">
        <v>75</v>
      </c>
      <c r="H255" t="s">
        <v>34</v>
      </c>
      <c r="I255">
        <v>6</v>
      </c>
      <c r="J255" s="11">
        <v>696972</v>
      </c>
      <c r="K255" s="11">
        <v>35000</v>
      </c>
      <c r="L255" t="s">
        <v>35</v>
      </c>
      <c r="M255" t="s">
        <v>71</v>
      </c>
      <c r="N255" t="s">
        <v>61</v>
      </c>
    </row>
    <row r="256" spans="1:15" x14ac:dyDescent="0.25">
      <c r="A256" t="s">
        <v>598</v>
      </c>
      <c r="B256" t="s">
        <v>599</v>
      </c>
      <c r="C256" t="s">
        <v>263</v>
      </c>
      <c r="D256" s="6">
        <v>46170</v>
      </c>
      <c r="E256" t="s">
        <v>58</v>
      </c>
      <c r="F256" t="s">
        <v>65</v>
      </c>
      <c r="G256" t="s">
        <v>33</v>
      </c>
      <c r="H256" t="s">
        <v>47</v>
      </c>
      <c r="I256">
        <v>4</v>
      </c>
      <c r="J256" s="11">
        <v>547600</v>
      </c>
      <c r="K256" s="11">
        <v>15000</v>
      </c>
      <c r="L256" t="s">
        <v>89</v>
      </c>
      <c r="M256" t="s">
        <v>49</v>
      </c>
      <c r="N256" t="s">
        <v>61</v>
      </c>
    </row>
    <row r="257" spans="1:15" x14ac:dyDescent="0.25">
      <c r="A257" t="s">
        <v>600</v>
      </c>
      <c r="B257" t="s">
        <v>296</v>
      </c>
      <c r="C257" t="s">
        <v>144</v>
      </c>
      <c r="D257" s="6">
        <v>46053</v>
      </c>
      <c r="E257" t="s">
        <v>41</v>
      </c>
      <c r="F257" t="s">
        <v>42</v>
      </c>
      <c r="G257" t="s">
        <v>81</v>
      </c>
      <c r="H257" t="s">
        <v>54</v>
      </c>
      <c r="I257">
        <v>5</v>
      </c>
      <c r="J257" s="11">
        <v>2281891</v>
      </c>
      <c r="K257" s="11">
        <v>25000</v>
      </c>
      <c r="L257" t="s">
        <v>35</v>
      </c>
      <c r="M257" t="s">
        <v>67</v>
      </c>
      <c r="N257" t="s">
        <v>61</v>
      </c>
    </row>
    <row r="258" spans="1:15" hidden="1" x14ac:dyDescent="0.25">
      <c r="A258" t="s">
        <v>601</v>
      </c>
      <c r="B258" t="s">
        <v>344</v>
      </c>
      <c r="C258" t="s">
        <v>119</v>
      </c>
      <c r="D258" s="6">
        <v>46148</v>
      </c>
      <c r="E258" t="s">
        <v>58</v>
      </c>
      <c r="F258" t="s">
        <v>59</v>
      </c>
      <c r="G258" t="s">
        <v>75</v>
      </c>
      <c r="H258" t="s">
        <v>47</v>
      </c>
      <c r="I258">
        <v>2</v>
      </c>
      <c r="J258" s="11">
        <v>1389572</v>
      </c>
      <c r="K258" s="11">
        <v>50000</v>
      </c>
      <c r="L258" t="s">
        <v>35</v>
      </c>
      <c r="M258" t="s">
        <v>36</v>
      </c>
      <c r="N258" t="s">
        <v>37</v>
      </c>
    </row>
    <row r="259" spans="1:15" hidden="1" x14ac:dyDescent="0.25">
      <c r="A259" t="s">
        <v>602</v>
      </c>
      <c r="B259" t="s">
        <v>369</v>
      </c>
      <c r="C259" t="s">
        <v>370</v>
      </c>
      <c r="D259" s="6">
        <v>46190</v>
      </c>
      <c r="E259" t="s">
        <v>41</v>
      </c>
      <c r="F259" t="s">
        <v>42</v>
      </c>
      <c r="G259" t="s">
        <v>81</v>
      </c>
      <c r="H259" t="s">
        <v>76</v>
      </c>
      <c r="I259">
        <v>1</v>
      </c>
      <c r="J259" s="11">
        <v>1986961</v>
      </c>
      <c r="K259" s="11">
        <v>25000</v>
      </c>
      <c r="L259" t="s">
        <v>35</v>
      </c>
      <c r="M259" t="s">
        <v>67</v>
      </c>
      <c r="N259" t="s">
        <v>37</v>
      </c>
    </row>
    <row r="260" spans="1:15" x14ac:dyDescent="0.25">
      <c r="A260" t="s">
        <v>604</v>
      </c>
      <c r="B260" t="s">
        <v>91</v>
      </c>
      <c r="C260" t="s">
        <v>92</v>
      </c>
      <c r="D260" s="6">
        <v>46200</v>
      </c>
      <c r="E260" t="s">
        <v>41</v>
      </c>
      <c r="F260" t="s">
        <v>32</v>
      </c>
      <c r="G260" t="s">
        <v>46</v>
      </c>
      <c r="H260" t="s">
        <v>34</v>
      </c>
      <c r="I260">
        <v>2</v>
      </c>
      <c r="J260" s="11">
        <v>516585</v>
      </c>
      <c r="K260" s="11">
        <v>50000</v>
      </c>
      <c r="L260" t="s">
        <v>35</v>
      </c>
      <c r="M260" t="s">
        <v>49</v>
      </c>
      <c r="N260" t="s">
        <v>61</v>
      </c>
    </row>
    <row r="261" spans="1:15" x14ac:dyDescent="0.25">
      <c r="A261" t="s">
        <v>605</v>
      </c>
      <c r="B261" t="s">
        <v>606</v>
      </c>
      <c r="C261" t="s">
        <v>370</v>
      </c>
      <c r="D261" s="6">
        <v>46039</v>
      </c>
      <c r="E261" t="s">
        <v>53</v>
      </c>
      <c r="F261" t="s">
        <v>59</v>
      </c>
      <c r="G261" t="s">
        <v>81</v>
      </c>
      <c r="H261" t="s">
        <v>76</v>
      </c>
      <c r="I261">
        <v>4</v>
      </c>
      <c r="J261" s="11">
        <v>2374484</v>
      </c>
      <c r="K261" s="11">
        <v>15000</v>
      </c>
      <c r="L261" t="s">
        <v>48</v>
      </c>
      <c r="M261" t="s">
        <v>71</v>
      </c>
      <c r="N261" t="s">
        <v>61</v>
      </c>
    </row>
    <row r="262" spans="1:15" x14ac:dyDescent="0.25">
      <c r="A262" t="s">
        <v>607</v>
      </c>
      <c r="B262" t="s">
        <v>555</v>
      </c>
      <c r="C262" t="s">
        <v>238</v>
      </c>
      <c r="D262" s="6">
        <v>46076</v>
      </c>
      <c r="E262" t="s">
        <v>53</v>
      </c>
      <c r="F262" t="s">
        <v>59</v>
      </c>
      <c r="G262" t="s">
        <v>33</v>
      </c>
      <c r="H262" t="s">
        <v>54</v>
      </c>
      <c r="I262">
        <v>7</v>
      </c>
      <c r="J262" s="11"/>
      <c r="K262" s="11">
        <v>15000</v>
      </c>
      <c r="L262" t="s">
        <v>35</v>
      </c>
      <c r="M262" t="s">
        <v>67</v>
      </c>
      <c r="N262" t="s">
        <v>61</v>
      </c>
      <c r="O262" t="s">
        <v>1374</v>
      </c>
    </row>
    <row r="263" spans="1:15" hidden="1" x14ac:dyDescent="0.25">
      <c r="A263" t="s">
        <v>608</v>
      </c>
      <c r="B263" t="s">
        <v>39</v>
      </c>
      <c r="C263" t="s">
        <v>40</v>
      </c>
      <c r="D263" s="6">
        <v>46170</v>
      </c>
      <c r="E263" t="s">
        <v>58</v>
      </c>
      <c r="F263" t="s">
        <v>65</v>
      </c>
      <c r="G263" t="s">
        <v>81</v>
      </c>
      <c r="H263" t="s">
        <v>76</v>
      </c>
      <c r="I263">
        <v>1</v>
      </c>
      <c r="J263" s="11">
        <v>984990</v>
      </c>
      <c r="K263" s="11">
        <v>15000</v>
      </c>
      <c r="L263" t="s">
        <v>35</v>
      </c>
      <c r="M263" t="s">
        <v>71</v>
      </c>
      <c r="N263" t="s">
        <v>37</v>
      </c>
    </row>
    <row r="264" spans="1:15" hidden="1" x14ac:dyDescent="0.25">
      <c r="A264" t="s">
        <v>609</v>
      </c>
      <c r="B264" t="s">
        <v>247</v>
      </c>
      <c r="C264" t="s">
        <v>248</v>
      </c>
      <c r="D264" s="6">
        <v>46162</v>
      </c>
      <c r="E264" t="s">
        <v>53</v>
      </c>
      <c r="F264" t="s">
        <v>32</v>
      </c>
      <c r="G264" t="s">
        <v>75</v>
      </c>
      <c r="H264" t="s">
        <v>76</v>
      </c>
      <c r="I264">
        <v>6</v>
      </c>
      <c r="J264" s="11">
        <v>839755</v>
      </c>
      <c r="K264" s="11">
        <v>35000</v>
      </c>
      <c r="L264" t="s">
        <v>35</v>
      </c>
      <c r="M264" t="s">
        <v>67</v>
      </c>
      <c r="N264" t="s">
        <v>37</v>
      </c>
    </row>
    <row r="265" spans="1:15" x14ac:dyDescent="0.25">
      <c r="A265" t="s">
        <v>610</v>
      </c>
      <c r="B265" t="s">
        <v>376</v>
      </c>
      <c r="C265" t="s">
        <v>377</v>
      </c>
      <c r="D265" s="6">
        <v>46170</v>
      </c>
      <c r="E265" t="s">
        <v>53</v>
      </c>
      <c r="F265" t="s">
        <v>42</v>
      </c>
      <c r="G265" t="s">
        <v>75</v>
      </c>
      <c r="H265" t="s">
        <v>54</v>
      </c>
      <c r="I265">
        <v>5</v>
      </c>
      <c r="J265" s="11">
        <v>2177066</v>
      </c>
      <c r="K265" s="11">
        <v>25000</v>
      </c>
      <c r="L265" t="s">
        <v>245</v>
      </c>
      <c r="N265" t="s">
        <v>61</v>
      </c>
      <c r="O265" t="s">
        <v>1379</v>
      </c>
    </row>
    <row r="266" spans="1:15" hidden="1" x14ac:dyDescent="0.25">
      <c r="A266" t="s">
        <v>611</v>
      </c>
      <c r="B266" t="s">
        <v>612</v>
      </c>
      <c r="C266" t="s">
        <v>101</v>
      </c>
      <c r="D266" s="6">
        <v>46032</v>
      </c>
      <c r="E266" t="s">
        <v>53</v>
      </c>
      <c r="F266" t="s">
        <v>42</v>
      </c>
      <c r="G266" t="s">
        <v>46</v>
      </c>
      <c r="H266" t="s">
        <v>66</v>
      </c>
      <c r="I266">
        <v>3</v>
      </c>
      <c r="J266" s="11">
        <v>908838</v>
      </c>
      <c r="K266" s="11">
        <v>15000</v>
      </c>
      <c r="L266" t="s">
        <v>48</v>
      </c>
      <c r="M266" t="s">
        <v>36</v>
      </c>
      <c r="N266" t="s">
        <v>37</v>
      </c>
    </row>
    <row r="267" spans="1:15" hidden="1" x14ac:dyDescent="0.25">
      <c r="A267" t="s">
        <v>613</v>
      </c>
      <c r="B267" t="s">
        <v>39</v>
      </c>
      <c r="C267" t="s">
        <v>40</v>
      </c>
      <c r="D267" s="6">
        <v>46182</v>
      </c>
      <c r="E267" t="s">
        <v>31</v>
      </c>
      <c r="F267" t="s">
        <v>59</v>
      </c>
      <c r="G267" t="s">
        <v>60</v>
      </c>
      <c r="H267" t="s">
        <v>54</v>
      </c>
      <c r="I267">
        <v>5</v>
      </c>
      <c r="J267" s="11">
        <v>1890059</v>
      </c>
      <c r="K267" s="11">
        <v>0</v>
      </c>
      <c r="L267" t="s">
        <v>35</v>
      </c>
      <c r="M267" t="s">
        <v>36</v>
      </c>
      <c r="N267" t="s">
        <v>37</v>
      </c>
      <c r="O267" t="s">
        <v>1377</v>
      </c>
    </row>
    <row r="268" spans="1:15" x14ac:dyDescent="0.25">
      <c r="A268" t="s">
        <v>614</v>
      </c>
      <c r="B268" t="s">
        <v>399</v>
      </c>
      <c r="C268" t="s">
        <v>111</v>
      </c>
      <c r="D268" s="6">
        <v>46131</v>
      </c>
      <c r="E268" t="s">
        <v>31</v>
      </c>
      <c r="F268" t="s">
        <v>32</v>
      </c>
      <c r="G268" t="s">
        <v>46</v>
      </c>
      <c r="H268" t="s">
        <v>76</v>
      </c>
      <c r="I268">
        <v>2</v>
      </c>
      <c r="J268" s="11">
        <v>720808</v>
      </c>
      <c r="K268" s="11">
        <v>50000</v>
      </c>
      <c r="L268" t="s">
        <v>35</v>
      </c>
      <c r="M268" t="s">
        <v>36</v>
      </c>
      <c r="N268" t="s">
        <v>61</v>
      </c>
    </row>
    <row r="269" spans="1:15" x14ac:dyDescent="0.25">
      <c r="A269" t="s">
        <v>615</v>
      </c>
      <c r="B269" t="s">
        <v>381</v>
      </c>
      <c r="C269" t="s">
        <v>382</v>
      </c>
      <c r="D269" s="6">
        <v>46062</v>
      </c>
      <c r="E269" t="s">
        <v>58</v>
      </c>
      <c r="F269" t="s">
        <v>32</v>
      </c>
      <c r="G269" t="s">
        <v>81</v>
      </c>
      <c r="H269" t="s">
        <v>76</v>
      </c>
      <c r="I269">
        <v>4</v>
      </c>
      <c r="J269" s="11">
        <v>1446911</v>
      </c>
      <c r="K269" s="11">
        <v>35000</v>
      </c>
      <c r="L269" t="s">
        <v>35</v>
      </c>
      <c r="M269" t="s">
        <v>36</v>
      </c>
      <c r="N269" t="s">
        <v>61</v>
      </c>
    </row>
    <row r="270" spans="1:15" hidden="1" x14ac:dyDescent="0.25">
      <c r="A270" t="s">
        <v>616</v>
      </c>
      <c r="B270" t="s">
        <v>192</v>
      </c>
      <c r="C270" t="s">
        <v>101</v>
      </c>
      <c r="D270" s="6">
        <v>46163</v>
      </c>
      <c r="E270" t="s">
        <v>80</v>
      </c>
      <c r="F270" t="s">
        <v>32</v>
      </c>
      <c r="G270" t="s">
        <v>85</v>
      </c>
      <c r="H270" t="s">
        <v>34</v>
      </c>
      <c r="I270">
        <v>3</v>
      </c>
      <c r="J270" s="11">
        <v>1826164</v>
      </c>
      <c r="K270" s="11">
        <v>0</v>
      </c>
      <c r="L270" t="s">
        <v>35</v>
      </c>
      <c r="M270" t="s">
        <v>36</v>
      </c>
      <c r="N270" t="s">
        <v>37</v>
      </c>
      <c r="O270" t="s">
        <v>1377</v>
      </c>
    </row>
    <row r="271" spans="1:15" x14ac:dyDescent="0.25">
      <c r="A271" t="s">
        <v>617</v>
      </c>
      <c r="B271" t="s">
        <v>618</v>
      </c>
      <c r="C271" t="s">
        <v>133</v>
      </c>
      <c r="D271" s="6">
        <v>46048</v>
      </c>
      <c r="E271" t="s">
        <v>53</v>
      </c>
      <c r="F271" t="s">
        <v>32</v>
      </c>
      <c r="G271" t="s">
        <v>46</v>
      </c>
      <c r="H271" t="s">
        <v>47</v>
      </c>
      <c r="I271">
        <v>4</v>
      </c>
      <c r="J271" s="11">
        <v>1701906</v>
      </c>
      <c r="K271" s="11">
        <v>15000</v>
      </c>
      <c r="L271" t="s">
        <v>89</v>
      </c>
      <c r="M271" t="s">
        <v>36</v>
      </c>
      <c r="N271" t="s">
        <v>61</v>
      </c>
    </row>
    <row r="272" spans="1:15" hidden="1" x14ac:dyDescent="0.25">
      <c r="A272" t="s">
        <v>619</v>
      </c>
      <c r="B272" t="s">
        <v>595</v>
      </c>
      <c r="C272" t="s">
        <v>107</v>
      </c>
      <c r="D272" s="6">
        <v>46112</v>
      </c>
      <c r="E272" t="s">
        <v>31</v>
      </c>
      <c r="F272" t="s">
        <v>32</v>
      </c>
      <c r="G272" t="s">
        <v>60</v>
      </c>
      <c r="H272" t="s">
        <v>34</v>
      </c>
      <c r="I272">
        <v>3</v>
      </c>
      <c r="J272" s="11">
        <v>1302779</v>
      </c>
      <c r="K272" s="11">
        <v>50000</v>
      </c>
      <c r="L272" t="s">
        <v>35</v>
      </c>
      <c r="M272" t="s">
        <v>71</v>
      </c>
      <c r="N272" t="s">
        <v>37</v>
      </c>
    </row>
    <row r="273" spans="1:15" x14ac:dyDescent="0.25">
      <c r="A273" t="s">
        <v>620</v>
      </c>
      <c r="B273" t="s">
        <v>583</v>
      </c>
      <c r="C273" t="s">
        <v>377</v>
      </c>
      <c r="D273" s="6">
        <v>46196</v>
      </c>
      <c r="E273" t="s">
        <v>80</v>
      </c>
      <c r="F273" t="s">
        <v>65</v>
      </c>
      <c r="G273" t="s">
        <v>75</v>
      </c>
      <c r="H273" t="s">
        <v>76</v>
      </c>
      <c r="I273">
        <v>5</v>
      </c>
      <c r="J273" s="11">
        <v>2350036</v>
      </c>
      <c r="K273" s="11">
        <v>50000</v>
      </c>
      <c r="L273" t="s">
        <v>48</v>
      </c>
      <c r="M273" t="s">
        <v>71</v>
      </c>
      <c r="N273" t="s">
        <v>61</v>
      </c>
    </row>
    <row r="274" spans="1:15" hidden="1" x14ac:dyDescent="0.25">
      <c r="A274" t="s">
        <v>621</v>
      </c>
      <c r="B274" t="s">
        <v>446</v>
      </c>
      <c r="C274" t="s">
        <v>98</v>
      </c>
      <c r="D274" s="6">
        <v>46055</v>
      </c>
      <c r="E274" t="s">
        <v>80</v>
      </c>
      <c r="F274" t="s">
        <v>42</v>
      </c>
      <c r="G274" t="s">
        <v>75</v>
      </c>
      <c r="H274" t="s">
        <v>76</v>
      </c>
      <c r="I274">
        <v>5</v>
      </c>
      <c r="J274" s="11">
        <v>718401</v>
      </c>
      <c r="K274" s="11">
        <v>35000</v>
      </c>
      <c r="L274" t="s">
        <v>35</v>
      </c>
      <c r="M274" t="s">
        <v>67</v>
      </c>
      <c r="N274" t="s">
        <v>37</v>
      </c>
    </row>
    <row r="275" spans="1:15" hidden="1" x14ac:dyDescent="0.25">
      <c r="A275" t="s">
        <v>622</v>
      </c>
      <c r="B275" t="s">
        <v>69</v>
      </c>
      <c r="C275" t="s">
        <v>70</v>
      </c>
      <c r="D275" s="6">
        <v>46140</v>
      </c>
      <c r="E275" t="s">
        <v>41</v>
      </c>
      <c r="F275" t="s">
        <v>42</v>
      </c>
      <c r="G275" t="s">
        <v>33</v>
      </c>
      <c r="H275" t="s">
        <v>54</v>
      </c>
      <c r="I275">
        <v>3</v>
      </c>
      <c r="J275" s="11">
        <v>887996</v>
      </c>
      <c r="K275" s="11">
        <v>35000</v>
      </c>
      <c r="L275" t="s">
        <v>48</v>
      </c>
      <c r="M275" t="s">
        <v>36</v>
      </c>
      <c r="N275" t="s">
        <v>37</v>
      </c>
    </row>
    <row r="276" spans="1:15" hidden="1" x14ac:dyDescent="0.25">
      <c r="A276" t="s">
        <v>623</v>
      </c>
      <c r="B276" t="s">
        <v>549</v>
      </c>
      <c r="C276" t="s">
        <v>198</v>
      </c>
      <c r="D276" s="6">
        <v>46103</v>
      </c>
      <c r="E276" t="s">
        <v>31</v>
      </c>
      <c r="F276" t="s">
        <v>65</v>
      </c>
      <c r="G276" t="s">
        <v>81</v>
      </c>
      <c r="H276" t="s">
        <v>66</v>
      </c>
      <c r="I276">
        <v>1</v>
      </c>
      <c r="J276" s="11">
        <v>498077</v>
      </c>
      <c r="K276" s="11">
        <v>0</v>
      </c>
      <c r="L276" t="s">
        <v>35</v>
      </c>
      <c r="M276" t="s">
        <v>49</v>
      </c>
      <c r="N276" t="s">
        <v>37</v>
      </c>
      <c r="O276" t="s">
        <v>1377</v>
      </c>
    </row>
    <row r="277" spans="1:15" x14ac:dyDescent="0.25">
      <c r="A277" t="s">
        <v>624</v>
      </c>
      <c r="B277" t="s">
        <v>583</v>
      </c>
      <c r="C277" t="s">
        <v>377</v>
      </c>
      <c r="D277" s="6">
        <v>46025</v>
      </c>
      <c r="E277" t="s">
        <v>53</v>
      </c>
      <c r="F277" t="s">
        <v>65</v>
      </c>
      <c r="G277" t="s">
        <v>60</v>
      </c>
      <c r="H277" t="s">
        <v>54</v>
      </c>
      <c r="I277">
        <v>6</v>
      </c>
      <c r="J277" s="11">
        <v>1898316</v>
      </c>
      <c r="K277" s="11">
        <v>50000</v>
      </c>
      <c r="L277" t="s">
        <v>35</v>
      </c>
      <c r="M277" t="s">
        <v>36</v>
      </c>
      <c r="N277" t="s">
        <v>61</v>
      </c>
    </row>
    <row r="278" spans="1:15" x14ac:dyDescent="0.25">
      <c r="A278" t="s">
        <v>625</v>
      </c>
      <c r="B278" t="s">
        <v>626</v>
      </c>
      <c r="C278" t="s">
        <v>204</v>
      </c>
      <c r="D278" s="6">
        <v>46024</v>
      </c>
      <c r="E278" t="s">
        <v>53</v>
      </c>
      <c r="F278" t="s">
        <v>65</v>
      </c>
      <c r="G278" t="s">
        <v>46</v>
      </c>
      <c r="H278" t="s">
        <v>47</v>
      </c>
      <c r="I278">
        <v>6</v>
      </c>
      <c r="J278" s="11">
        <v>1902490</v>
      </c>
      <c r="K278" s="11">
        <v>50000</v>
      </c>
      <c r="L278" t="s">
        <v>35</v>
      </c>
      <c r="M278" t="s">
        <v>49</v>
      </c>
      <c r="N278" t="s">
        <v>61</v>
      </c>
    </row>
    <row r="279" spans="1:15" hidden="1" x14ac:dyDescent="0.25">
      <c r="A279" t="s">
        <v>627</v>
      </c>
      <c r="B279" t="s">
        <v>628</v>
      </c>
      <c r="C279" t="s">
        <v>388</v>
      </c>
      <c r="E279" t="s">
        <v>80</v>
      </c>
      <c r="F279" t="s">
        <v>65</v>
      </c>
      <c r="G279" t="s">
        <v>60</v>
      </c>
      <c r="H279" t="s">
        <v>47</v>
      </c>
      <c r="I279">
        <v>1</v>
      </c>
      <c r="J279" s="11">
        <v>1064006</v>
      </c>
      <c r="K279" s="11">
        <v>15000</v>
      </c>
      <c r="L279" t="s">
        <v>35</v>
      </c>
      <c r="M279" t="s">
        <v>67</v>
      </c>
      <c r="N279" t="s">
        <v>37</v>
      </c>
      <c r="O279" t="s">
        <v>1375</v>
      </c>
    </row>
    <row r="280" spans="1:15" hidden="1" x14ac:dyDescent="0.25">
      <c r="A280" t="s">
        <v>630</v>
      </c>
      <c r="B280" t="s">
        <v>503</v>
      </c>
      <c r="C280" t="s">
        <v>141</v>
      </c>
      <c r="D280" s="6">
        <v>46118</v>
      </c>
      <c r="E280" t="s">
        <v>58</v>
      </c>
      <c r="F280" t="s">
        <v>32</v>
      </c>
      <c r="G280" t="s">
        <v>33</v>
      </c>
      <c r="H280" t="s">
        <v>47</v>
      </c>
      <c r="I280">
        <v>6</v>
      </c>
      <c r="J280" s="11">
        <v>594935</v>
      </c>
      <c r="K280" s="11">
        <v>25000</v>
      </c>
      <c r="L280" t="s">
        <v>35</v>
      </c>
      <c r="M280" t="s">
        <v>36</v>
      </c>
      <c r="N280" t="s">
        <v>37</v>
      </c>
    </row>
    <row r="281" spans="1:15" hidden="1" x14ac:dyDescent="0.25">
      <c r="A281" t="s">
        <v>631</v>
      </c>
      <c r="B281" t="s">
        <v>143</v>
      </c>
      <c r="C281" t="s">
        <v>144</v>
      </c>
      <c r="D281" s="6">
        <v>46077</v>
      </c>
      <c r="E281" t="s">
        <v>53</v>
      </c>
      <c r="F281" t="s">
        <v>65</v>
      </c>
      <c r="G281" t="s">
        <v>60</v>
      </c>
      <c r="H281" t="s">
        <v>76</v>
      </c>
      <c r="I281">
        <v>4</v>
      </c>
      <c r="J281" s="11">
        <v>129371</v>
      </c>
      <c r="K281" s="11">
        <v>50000</v>
      </c>
      <c r="L281" t="s">
        <v>35</v>
      </c>
      <c r="M281" t="s">
        <v>67</v>
      </c>
      <c r="N281" t="s">
        <v>37</v>
      </c>
    </row>
    <row r="282" spans="1:15" hidden="1" x14ac:dyDescent="0.25">
      <c r="A282" t="s">
        <v>633</v>
      </c>
      <c r="B282" t="s">
        <v>469</v>
      </c>
      <c r="C282" t="s">
        <v>470</v>
      </c>
      <c r="D282" s="6">
        <v>46114</v>
      </c>
      <c r="E282" t="s">
        <v>58</v>
      </c>
      <c r="F282" t="s">
        <v>32</v>
      </c>
      <c r="G282" t="s">
        <v>75</v>
      </c>
      <c r="H282" t="s">
        <v>34</v>
      </c>
      <c r="I282">
        <v>4</v>
      </c>
      <c r="J282" s="11">
        <v>144709</v>
      </c>
      <c r="K282" s="11">
        <v>50000</v>
      </c>
      <c r="L282" t="s">
        <v>35</v>
      </c>
      <c r="M282" t="s">
        <v>36</v>
      </c>
      <c r="N282" t="s">
        <v>37</v>
      </c>
    </row>
    <row r="283" spans="1:15" x14ac:dyDescent="0.25">
      <c r="A283" t="s">
        <v>634</v>
      </c>
      <c r="B283" t="s">
        <v>635</v>
      </c>
      <c r="C283" t="s">
        <v>636</v>
      </c>
      <c r="D283" s="6">
        <v>46025</v>
      </c>
      <c r="E283" t="s">
        <v>31</v>
      </c>
      <c r="F283" t="s">
        <v>59</v>
      </c>
      <c r="G283" t="s">
        <v>81</v>
      </c>
      <c r="H283" t="s">
        <v>47</v>
      </c>
      <c r="I283">
        <v>4</v>
      </c>
      <c r="J283" s="11">
        <v>545041</v>
      </c>
      <c r="K283" s="11">
        <v>35000</v>
      </c>
      <c r="L283" t="s">
        <v>35</v>
      </c>
      <c r="M283" t="s">
        <v>36</v>
      </c>
      <c r="N283" t="s">
        <v>61</v>
      </c>
    </row>
    <row r="284" spans="1:15" x14ac:dyDescent="0.25">
      <c r="A284" t="s">
        <v>637</v>
      </c>
      <c r="B284" t="s">
        <v>638</v>
      </c>
      <c r="C284" t="s">
        <v>241</v>
      </c>
      <c r="D284" s="6">
        <v>46191</v>
      </c>
      <c r="E284" t="s">
        <v>41</v>
      </c>
      <c r="F284" t="s">
        <v>42</v>
      </c>
      <c r="G284" t="s">
        <v>46</v>
      </c>
      <c r="H284" t="s">
        <v>66</v>
      </c>
      <c r="I284">
        <v>4</v>
      </c>
      <c r="J284" s="11">
        <v>1169141</v>
      </c>
      <c r="K284" s="11">
        <v>15000</v>
      </c>
      <c r="L284" t="s">
        <v>35</v>
      </c>
      <c r="M284" t="s">
        <v>67</v>
      </c>
      <c r="N284" t="s">
        <v>61</v>
      </c>
    </row>
    <row r="285" spans="1:15" hidden="1" x14ac:dyDescent="0.25">
      <c r="A285" t="s">
        <v>640</v>
      </c>
      <c r="B285" t="s">
        <v>641</v>
      </c>
      <c r="C285" t="s">
        <v>642</v>
      </c>
      <c r="D285" s="6">
        <v>46191</v>
      </c>
      <c r="E285" t="s">
        <v>80</v>
      </c>
      <c r="F285" t="s">
        <v>42</v>
      </c>
      <c r="G285" t="s">
        <v>81</v>
      </c>
      <c r="H285" t="s">
        <v>34</v>
      </c>
      <c r="I285">
        <v>2</v>
      </c>
      <c r="J285" s="11">
        <v>1962795</v>
      </c>
      <c r="K285" s="11">
        <v>15000</v>
      </c>
      <c r="L285" t="s">
        <v>35</v>
      </c>
      <c r="M285" t="s">
        <v>36</v>
      </c>
      <c r="N285" t="s">
        <v>37</v>
      </c>
    </row>
    <row r="286" spans="1:15" x14ac:dyDescent="0.25">
      <c r="A286" t="s">
        <v>643</v>
      </c>
      <c r="B286" t="s">
        <v>327</v>
      </c>
      <c r="C286" t="s">
        <v>328</v>
      </c>
      <c r="D286" s="6">
        <v>46057</v>
      </c>
      <c r="E286" t="s">
        <v>31</v>
      </c>
      <c r="F286" t="s">
        <v>59</v>
      </c>
      <c r="G286" t="s">
        <v>75</v>
      </c>
      <c r="H286" t="s">
        <v>66</v>
      </c>
      <c r="I286">
        <v>6</v>
      </c>
      <c r="J286" s="11">
        <v>1774845</v>
      </c>
      <c r="K286" s="11">
        <v>35000</v>
      </c>
      <c r="L286" t="s">
        <v>35</v>
      </c>
      <c r="M286" t="s">
        <v>67</v>
      </c>
      <c r="N286" t="s">
        <v>61</v>
      </c>
    </row>
    <row r="287" spans="1:15" x14ac:dyDescent="0.25">
      <c r="A287" t="s">
        <v>644</v>
      </c>
      <c r="B287" t="s">
        <v>381</v>
      </c>
      <c r="C287" t="s">
        <v>382</v>
      </c>
      <c r="D287" s="6">
        <v>46148</v>
      </c>
      <c r="E287" t="s">
        <v>41</v>
      </c>
      <c r="F287" t="s">
        <v>59</v>
      </c>
      <c r="G287" t="s">
        <v>85</v>
      </c>
      <c r="H287" t="s">
        <v>54</v>
      </c>
      <c r="I287">
        <v>7</v>
      </c>
      <c r="J287" s="11">
        <v>2427385</v>
      </c>
      <c r="K287" s="11">
        <v>35000</v>
      </c>
      <c r="L287" t="s">
        <v>35</v>
      </c>
      <c r="M287" t="s">
        <v>67</v>
      </c>
      <c r="N287" t="s">
        <v>61</v>
      </c>
    </row>
    <row r="288" spans="1:15" hidden="1" x14ac:dyDescent="0.25">
      <c r="A288" t="s">
        <v>645</v>
      </c>
      <c r="B288" t="s">
        <v>405</v>
      </c>
      <c r="C288" t="s">
        <v>107</v>
      </c>
      <c r="D288" s="6">
        <v>46028</v>
      </c>
      <c r="E288" t="s">
        <v>31</v>
      </c>
      <c r="F288" t="s">
        <v>65</v>
      </c>
      <c r="G288" t="s">
        <v>75</v>
      </c>
      <c r="H288" t="s">
        <v>66</v>
      </c>
      <c r="I288">
        <v>3</v>
      </c>
      <c r="J288" s="11">
        <v>649000</v>
      </c>
      <c r="K288" s="11">
        <v>15000</v>
      </c>
      <c r="L288" t="s">
        <v>35</v>
      </c>
      <c r="M288" t="s">
        <v>36</v>
      </c>
      <c r="N288" t="s">
        <v>37</v>
      </c>
    </row>
    <row r="289" spans="1:15" x14ac:dyDescent="0.25">
      <c r="A289" t="s">
        <v>646</v>
      </c>
      <c r="B289" t="s">
        <v>647</v>
      </c>
      <c r="C289" t="s">
        <v>377</v>
      </c>
      <c r="D289" s="6">
        <v>46025</v>
      </c>
      <c r="E289" t="s">
        <v>41</v>
      </c>
      <c r="F289" t="s">
        <v>42</v>
      </c>
      <c r="G289" t="s">
        <v>46</v>
      </c>
      <c r="H289" t="s">
        <v>34</v>
      </c>
      <c r="I289">
        <v>3</v>
      </c>
      <c r="J289" s="11">
        <v>1941705</v>
      </c>
      <c r="K289" s="11">
        <v>35000</v>
      </c>
      <c r="L289" t="s">
        <v>35</v>
      </c>
      <c r="M289" t="s">
        <v>67</v>
      </c>
      <c r="N289" t="s">
        <v>61</v>
      </c>
    </row>
    <row r="290" spans="1:15" x14ac:dyDescent="0.25">
      <c r="A290" t="s">
        <v>648</v>
      </c>
      <c r="B290" t="s">
        <v>424</v>
      </c>
      <c r="C290" t="s">
        <v>79</v>
      </c>
      <c r="D290" s="6">
        <v>46094</v>
      </c>
      <c r="E290" t="s">
        <v>31</v>
      </c>
      <c r="F290" t="s">
        <v>59</v>
      </c>
      <c r="G290" t="s">
        <v>75</v>
      </c>
      <c r="H290" t="s">
        <v>54</v>
      </c>
      <c r="I290">
        <v>6</v>
      </c>
      <c r="J290" s="11">
        <v>602428</v>
      </c>
      <c r="K290" s="11">
        <v>25000</v>
      </c>
      <c r="L290" t="s">
        <v>35</v>
      </c>
      <c r="M290" t="s">
        <v>71</v>
      </c>
      <c r="N290" t="s">
        <v>61</v>
      </c>
    </row>
    <row r="291" spans="1:15" x14ac:dyDescent="0.25">
      <c r="A291" t="s">
        <v>649</v>
      </c>
      <c r="B291" t="s">
        <v>305</v>
      </c>
      <c r="C291" t="s">
        <v>176</v>
      </c>
      <c r="D291" s="6">
        <v>46174</v>
      </c>
      <c r="E291" t="s">
        <v>31</v>
      </c>
      <c r="F291" t="s">
        <v>42</v>
      </c>
      <c r="G291" t="s">
        <v>60</v>
      </c>
      <c r="H291" t="s">
        <v>54</v>
      </c>
      <c r="I291">
        <v>1</v>
      </c>
      <c r="J291" s="11">
        <v>743802</v>
      </c>
      <c r="K291" s="11">
        <v>15000</v>
      </c>
      <c r="L291" t="s">
        <v>35</v>
      </c>
      <c r="M291" t="s">
        <v>67</v>
      </c>
      <c r="N291" t="s">
        <v>61</v>
      </c>
    </row>
    <row r="292" spans="1:15" hidden="1" x14ac:dyDescent="0.25">
      <c r="A292" t="s">
        <v>650</v>
      </c>
      <c r="B292" t="s">
        <v>651</v>
      </c>
      <c r="C292" t="s">
        <v>70</v>
      </c>
      <c r="D292" s="6">
        <v>46036</v>
      </c>
      <c r="E292" t="s">
        <v>31</v>
      </c>
      <c r="F292" t="s">
        <v>42</v>
      </c>
      <c r="G292" t="s">
        <v>33</v>
      </c>
      <c r="H292" t="s">
        <v>47</v>
      </c>
      <c r="J292" s="11">
        <v>1715314</v>
      </c>
      <c r="K292" s="11">
        <v>35000</v>
      </c>
      <c r="L292" t="s">
        <v>35</v>
      </c>
      <c r="M292" t="s">
        <v>36</v>
      </c>
      <c r="N292" t="s">
        <v>37</v>
      </c>
      <c r="O292" t="s">
        <v>1376</v>
      </c>
    </row>
    <row r="293" spans="1:15" x14ac:dyDescent="0.25">
      <c r="A293" t="s">
        <v>653</v>
      </c>
      <c r="B293" t="s">
        <v>654</v>
      </c>
      <c r="C293" t="s">
        <v>388</v>
      </c>
      <c r="D293" s="6">
        <v>46153</v>
      </c>
      <c r="E293" t="s">
        <v>80</v>
      </c>
      <c r="F293" t="s">
        <v>59</v>
      </c>
      <c r="G293" t="s">
        <v>85</v>
      </c>
      <c r="H293" t="s">
        <v>66</v>
      </c>
      <c r="I293">
        <v>3</v>
      </c>
      <c r="J293" s="11">
        <v>1911273</v>
      </c>
      <c r="K293" s="11">
        <v>0</v>
      </c>
      <c r="L293" t="s">
        <v>35</v>
      </c>
      <c r="M293" t="s">
        <v>36</v>
      </c>
      <c r="N293" t="s">
        <v>61</v>
      </c>
      <c r="O293" t="s">
        <v>1377</v>
      </c>
    </row>
    <row r="294" spans="1:15" hidden="1" x14ac:dyDescent="0.25">
      <c r="A294" t="s">
        <v>655</v>
      </c>
      <c r="B294" t="s">
        <v>286</v>
      </c>
      <c r="C294" t="s">
        <v>45</v>
      </c>
      <c r="D294" s="6">
        <v>46033</v>
      </c>
      <c r="E294" t="s">
        <v>41</v>
      </c>
      <c r="F294" t="s">
        <v>32</v>
      </c>
      <c r="G294" t="s">
        <v>46</v>
      </c>
      <c r="H294" t="s">
        <v>54</v>
      </c>
      <c r="I294">
        <v>6</v>
      </c>
      <c r="J294" s="11">
        <v>122247</v>
      </c>
      <c r="K294" s="11">
        <v>0</v>
      </c>
      <c r="L294" t="s">
        <v>35</v>
      </c>
      <c r="M294" t="s">
        <v>67</v>
      </c>
      <c r="N294" t="s">
        <v>37</v>
      </c>
      <c r="O294" t="s">
        <v>1377</v>
      </c>
    </row>
    <row r="295" spans="1:15" hidden="1" x14ac:dyDescent="0.25">
      <c r="A295" t="s">
        <v>657</v>
      </c>
      <c r="B295" t="s">
        <v>175</v>
      </c>
      <c r="C295" t="s">
        <v>176</v>
      </c>
      <c r="D295" s="6">
        <v>46087</v>
      </c>
      <c r="E295" t="s">
        <v>58</v>
      </c>
      <c r="F295" t="s">
        <v>42</v>
      </c>
      <c r="G295" t="s">
        <v>33</v>
      </c>
      <c r="H295" t="s">
        <v>66</v>
      </c>
      <c r="I295">
        <v>3</v>
      </c>
      <c r="J295" s="11">
        <v>2180604</v>
      </c>
      <c r="K295" s="11">
        <v>25000</v>
      </c>
      <c r="L295" t="s">
        <v>35</v>
      </c>
      <c r="M295" t="s">
        <v>67</v>
      </c>
      <c r="N295" t="s">
        <v>37</v>
      </c>
    </row>
    <row r="296" spans="1:15" x14ac:dyDescent="0.25">
      <c r="A296" t="s">
        <v>658</v>
      </c>
      <c r="B296" t="s">
        <v>167</v>
      </c>
      <c r="C296" t="s">
        <v>84</v>
      </c>
      <c r="D296" s="6">
        <v>46173</v>
      </c>
      <c r="E296" t="s">
        <v>53</v>
      </c>
      <c r="F296" t="s">
        <v>59</v>
      </c>
      <c r="G296" t="s">
        <v>81</v>
      </c>
      <c r="H296" t="s">
        <v>54</v>
      </c>
      <c r="I296">
        <v>3</v>
      </c>
      <c r="J296" s="11">
        <v>2338208</v>
      </c>
      <c r="K296" s="11">
        <v>50000</v>
      </c>
      <c r="L296" t="s">
        <v>35</v>
      </c>
      <c r="M296" t="s">
        <v>67</v>
      </c>
      <c r="N296" t="s">
        <v>61</v>
      </c>
    </row>
    <row r="297" spans="1:15" hidden="1" x14ac:dyDescent="0.25">
      <c r="A297" t="s">
        <v>659</v>
      </c>
      <c r="B297" t="s">
        <v>369</v>
      </c>
      <c r="C297" t="s">
        <v>370</v>
      </c>
      <c r="D297" s="6">
        <v>46177</v>
      </c>
      <c r="E297" t="s">
        <v>31</v>
      </c>
      <c r="F297" t="s">
        <v>59</v>
      </c>
      <c r="G297" t="s">
        <v>81</v>
      </c>
      <c r="H297" t="s">
        <v>54</v>
      </c>
      <c r="I297">
        <v>5</v>
      </c>
      <c r="J297" s="11">
        <v>624802</v>
      </c>
      <c r="K297" s="11">
        <v>0</v>
      </c>
      <c r="L297" t="s">
        <v>89</v>
      </c>
      <c r="M297" t="s">
        <v>49</v>
      </c>
      <c r="N297" t="s">
        <v>37</v>
      </c>
      <c r="O297" t="s">
        <v>1377</v>
      </c>
    </row>
    <row r="298" spans="1:15" hidden="1" x14ac:dyDescent="0.25">
      <c r="A298" t="s">
        <v>660</v>
      </c>
      <c r="B298" t="s">
        <v>298</v>
      </c>
      <c r="C298" t="s">
        <v>88</v>
      </c>
      <c r="D298" s="6">
        <v>46144</v>
      </c>
      <c r="E298" t="s">
        <v>41</v>
      </c>
      <c r="F298" t="s">
        <v>32</v>
      </c>
      <c r="G298" t="s">
        <v>46</v>
      </c>
      <c r="H298" t="s">
        <v>66</v>
      </c>
      <c r="I298">
        <v>6</v>
      </c>
      <c r="J298" s="11">
        <v>967245</v>
      </c>
      <c r="K298" s="11">
        <v>50000</v>
      </c>
      <c r="L298" t="s">
        <v>35</v>
      </c>
      <c r="M298" t="s">
        <v>67</v>
      </c>
      <c r="N298" t="s">
        <v>37</v>
      </c>
    </row>
    <row r="299" spans="1:15" hidden="1" x14ac:dyDescent="0.25">
      <c r="A299" t="s">
        <v>661</v>
      </c>
      <c r="B299" t="s">
        <v>113</v>
      </c>
      <c r="C299" t="s">
        <v>114</v>
      </c>
      <c r="D299" s="6">
        <v>46184</v>
      </c>
      <c r="E299" t="s">
        <v>53</v>
      </c>
      <c r="F299" t="s">
        <v>65</v>
      </c>
      <c r="G299" t="s">
        <v>85</v>
      </c>
      <c r="H299" t="s">
        <v>76</v>
      </c>
      <c r="I299">
        <v>1</v>
      </c>
      <c r="J299" s="11">
        <v>612532</v>
      </c>
      <c r="K299" s="11">
        <v>35000</v>
      </c>
      <c r="L299" t="s">
        <v>35</v>
      </c>
      <c r="M299" t="s">
        <v>36</v>
      </c>
      <c r="N299" t="s">
        <v>37</v>
      </c>
    </row>
    <row r="300" spans="1:15" x14ac:dyDescent="0.25">
      <c r="A300" t="s">
        <v>662</v>
      </c>
      <c r="B300" t="s">
        <v>551</v>
      </c>
      <c r="C300" t="s">
        <v>84</v>
      </c>
      <c r="D300" s="6">
        <v>46056</v>
      </c>
      <c r="E300" t="s">
        <v>31</v>
      </c>
      <c r="F300" t="s">
        <v>59</v>
      </c>
      <c r="G300" t="s">
        <v>60</v>
      </c>
      <c r="H300" t="s">
        <v>76</v>
      </c>
      <c r="I300">
        <v>5</v>
      </c>
      <c r="J300" s="11">
        <v>1334906</v>
      </c>
      <c r="K300" s="11">
        <v>0</v>
      </c>
      <c r="L300" t="s">
        <v>35</v>
      </c>
      <c r="M300" t="s">
        <v>49</v>
      </c>
      <c r="N300" t="s">
        <v>61</v>
      </c>
      <c r="O300" t="s">
        <v>1377</v>
      </c>
    </row>
    <row r="301" spans="1:15" x14ac:dyDescent="0.25">
      <c r="A301" t="s">
        <v>663</v>
      </c>
      <c r="B301" t="s">
        <v>106</v>
      </c>
      <c r="C301" t="s">
        <v>107</v>
      </c>
      <c r="D301" s="6">
        <v>46135</v>
      </c>
      <c r="E301" t="s">
        <v>80</v>
      </c>
      <c r="F301" t="s">
        <v>42</v>
      </c>
      <c r="G301" t="s">
        <v>85</v>
      </c>
      <c r="H301" t="s">
        <v>54</v>
      </c>
      <c r="I301">
        <v>5</v>
      </c>
      <c r="J301" s="11">
        <v>2256068</v>
      </c>
      <c r="K301" s="11">
        <v>35000</v>
      </c>
      <c r="L301" t="s">
        <v>35</v>
      </c>
      <c r="M301" t="s">
        <v>36</v>
      </c>
      <c r="N301" t="s">
        <v>61</v>
      </c>
    </row>
    <row r="302" spans="1:15" hidden="1" x14ac:dyDescent="0.25">
      <c r="A302" t="s">
        <v>664</v>
      </c>
      <c r="B302" t="s">
        <v>665</v>
      </c>
      <c r="C302" t="s">
        <v>442</v>
      </c>
      <c r="D302" s="6">
        <v>46078</v>
      </c>
      <c r="E302" t="s">
        <v>80</v>
      </c>
      <c r="F302" t="s">
        <v>32</v>
      </c>
      <c r="G302" t="s">
        <v>85</v>
      </c>
      <c r="H302" t="s">
        <v>66</v>
      </c>
      <c r="I302">
        <v>4</v>
      </c>
      <c r="J302" s="11">
        <v>157167</v>
      </c>
      <c r="K302" s="11">
        <v>50000</v>
      </c>
      <c r="L302" t="s">
        <v>35</v>
      </c>
      <c r="M302" t="s">
        <v>36</v>
      </c>
      <c r="N302" t="s">
        <v>37</v>
      </c>
    </row>
    <row r="303" spans="1:15" x14ac:dyDescent="0.25">
      <c r="A303" t="s">
        <v>667</v>
      </c>
      <c r="B303" t="s">
        <v>140</v>
      </c>
      <c r="C303" t="s">
        <v>141</v>
      </c>
      <c r="D303" s="6">
        <v>46053</v>
      </c>
      <c r="E303" t="s">
        <v>31</v>
      </c>
      <c r="F303" t="s">
        <v>32</v>
      </c>
      <c r="G303" t="s">
        <v>85</v>
      </c>
      <c r="H303" t="s">
        <v>66</v>
      </c>
      <c r="I303">
        <v>1</v>
      </c>
      <c r="J303" s="11">
        <v>837683</v>
      </c>
      <c r="K303" s="11">
        <v>15000</v>
      </c>
      <c r="L303" t="s">
        <v>35</v>
      </c>
      <c r="M303" t="s">
        <v>67</v>
      </c>
      <c r="N303" t="s">
        <v>61</v>
      </c>
    </row>
    <row r="304" spans="1:15" hidden="1" x14ac:dyDescent="0.25">
      <c r="A304" t="s">
        <v>668</v>
      </c>
      <c r="B304" t="s">
        <v>669</v>
      </c>
      <c r="C304" t="s">
        <v>129</v>
      </c>
      <c r="D304" s="6">
        <v>46086</v>
      </c>
      <c r="E304" t="s">
        <v>53</v>
      </c>
      <c r="F304" t="s">
        <v>32</v>
      </c>
      <c r="G304" t="s">
        <v>33</v>
      </c>
      <c r="H304" t="s">
        <v>54</v>
      </c>
      <c r="I304">
        <v>1</v>
      </c>
      <c r="J304" s="11">
        <v>1000688</v>
      </c>
      <c r="K304" s="11">
        <v>50000</v>
      </c>
      <c r="L304" t="s">
        <v>35</v>
      </c>
      <c r="M304" t="s">
        <v>67</v>
      </c>
      <c r="N304" t="s">
        <v>37</v>
      </c>
    </row>
    <row r="305" spans="1:15" x14ac:dyDescent="0.25">
      <c r="A305" t="s">
        <v>670</v>
      </c>
      <c r="B305" t="s">
        <v>498</v>
      </c>
      <c r="C305" t="s">
        <v>388</v>
      </c>
      <c r="D305" s="6">
        <v>46057</v>
      </c>
      <c r="E305" t="s">
        <v>58</v>
      </c>
      <c r="F305" t="s">
        <v>32</v>
      </c>
      <c r="G305" t="s">
        <v>85</v>
      </c>
      <c r="H305" t="s">
        <v>66</v>
      </c>
      <c r="I305">
        <v>3</v>
      </c>
      <c r="J305" s="11">
        <v>1832714</v>
      </c>
      <c r="K305" s="11">
        <v>50000</v>
      </c>
      <c r="L305" t="s">
        <v>35</v>
      </c>
      <c r="M305" t="s">
        <v>67</v>
      </c>
      <c r="N305" t="s">
        <v>61</v>
      </c>
    </row>
    <row r="306" spans="1:15" hidden="1" x14ac:dyDescent="0.25">
      <c r="A306" t="s">
        <v>671</v>
      </c>
      <c r="B306" t="s">
        <v>490</v>
      </c>
      <c r="C306" t="s">
        <v>45</v>
      </c>
      <c r="D306" s="6">
        <v>46027</v>
      </c>
      <c r="E306" t="s">
        <v>80</v>
      </c>
      <c r="F306" t="s">
        <v>42</v>
      </c>
      <c r="G306" t="s">
        <v>60</v>
      </c>
      <c r="H306" t="s">
        <v>34</v>
      </c>
      <c r="I306">
        <v>1</v>
      </c>
      <c r="J306" s="11">
        <v>2373971</v>
      </c>
      <c r="K306" s="11">
        <v>50000</v>
      </c>
      <c r="L306" t="s">
        <v>35</v>
      </c>
      <c r="M306" t="s">
        <v>36</v>
      </c>
      <c r="N306" t="s">
        <v>37</v>
      </c>
    </row>
    <row r="307" spans="1:15" hidden="1" x14ac:dyDescent="0.25">
      <c r="A307" t="s">
        <v>673</v>
      </c>
      <c r="B307" t="s">
        <v>325</v>
      </c>
      <c r="C307" t="s">
        <v>158</v>
      </c>
      <c r="D307" s="6">
        <v>46075</v>
      </c>
      <c r="E307" t="s">
        <v>80</v>
      </c>
      <c r="F307" t="s">
        <v>42</v>
      </c>
      <c r="G307" t="s">
        <v>60</v>
      </c>
      <c r="H307" t="s">
        <v>54</v>
      </c>
      <c r="I307">
        <v>4</v>
      </c>
      <c r="J307" s="11">
        <v>1778693</v>
      </c>
      <c r="K307" s="11">
        <v>15000</v>
      </c>
      <c r="L307" t="s">
        <v>35</v>
      </c>
      <c r="M307" t="s">
        <v>36</v>
      </c>
      <c r="N307" t="s">
        <v>37</v>
      </c>
    </row>
    <row r="308" spans="1:15" x14ac:dyDescent="0.25">
      <c r="A308" t="s">
        <v>674</v>
      </c>
      <c r="B308" t="s">
        <v>286</v>
      </c>
      <c r="C308" t="s">
        <v>45</v>
      </c>
      <c r="D308" s="6">
        <v>46140</v>
      </c>
      <c r="E308" t="s">
        <v>31</v>
      </c>
      <c r="F308" t="s">
        <v>32</v>
      </c>
      <c r="G308" t="s">
        <v>81</v>
      </c>
      <c r="H308" t="s">
        <v>66</v>
      </c>
      <c r="I308">
        <v>2</v>
      </c>
      <c r="J308" s="11">
        <v>896063</v>
      </c>
      <c r="K308" s="11">
        <v>15000</v>
      </c>
      <c r="L308" t="s">
        <v>35</v>
      </c>
      <c r="M308" t="s">
        <v>49</v>
      </c>
      <c r="N308" t="s">
        <v>61</v>
      </c>
    </row>
    <row r="309" spans="1:15" x14ac:dyDescent="0.25">
      <c r="A309" t="s">
        <v>675</v>
      </c>
      <c r="B309" t="s">
        <v>430</v>
      </c>
      <c r="C309" t="s">
        <v>45</v>
      </c>
      <c r="D309" s="6">
        <v>46068</v>
      </c>
      <c r="E309" t="s">
        <v>31</v>
      </c>
      <c r="F309" t="s">
        <v>59</v>
      </c>
      <c r="G309" t="s">
        <v>75</v>
      </c>
      <c r="H309" t="s">
        <v>47</v>
      </c>
      <c r="I309">
        <v>2</v>
      </c>
      <c r="J309" s="11">
        <v>1773383</v>
      </c>
      <c r="K309" s="11">
        <v>50000</v>
      </c>
      <c r="L309" t="s">
        <v>35</v>
      </c>
      <c r="M309" t="s">
        <v>67</v>
      </c>
      <c r="N309" t="s">
        <v>61</v>
      </c>
    </row>
    <row r="310" spans="1:15" x14ac:dyDescent="0.25">
      <c r="A310" t="s">
        <v>676</v>
      </c>
      <c r="B310" t="s">
        <v>182</v>
      </c>
      <c r="C310" t="s">
        <v>200</v>
      </c>
      <c r="D310" s="6">
        <v>46157</v>
      </c>
      <c r="E310" t="s">
        <v>58</v>
      </c>
      <c r="F310" t="s">
        <v>65</v>
      </c>
      <c r="G310" t="s">
        <v>75</v>
      </c>
      <c r="H310" t="s">
        <v>54</v>
      </c>
      <c r="I310">
        <v>5</v>
      </c>
      <c r="J310" s="11">
        <v>695841</v>
      </c>
      <c r="K310" s="11">
        <v>0</v>
      </c>
      <c r="L310" t="s">
        <v>35</v>
      </c>
      <c r="M310" t="s">
        <v>36</v>
      </c>
      <c r="N310" t="s">
        <v>61</v>
      </c>
      <c r="O310" t="s">
        <v>1377</v>
      </c>
    </row>
    <row r="311" spans="1:15" x14ac:dyDescent="0.25">
      <c r="A311" t="s">
        <v>677</v>
      </c>
      <c r="B311" t="s">
        <v>424</v>
      </c>
      <c r="C311" t="s">
        <v>79</v>
      </c>
      <c r="D311" s="6">
        <v>46044</v>
      </c>
      <c r="E311" t="s">
        <v>58</v>
      </c>
      <c r="F311" t="s">
        <v>65</v>
      </c>
      <c r="G311" t="s">
        <v>46</v>
      </c>
      <c r="H311" t="s">
        <v>66</v>
      </c>
      <c r="I311">
        <v>6</v>
      </c>
      <c r="J311" s="11">
        <v>1242632</v>
      </c>
      <c r="K311" s="11">
        <v>15000</v>
      </c>
      <c r="L311" t="s">
        <v>35</v>
      </c>
      <c r="M311" t="s">
        <v>71</v>
      </c>
      <c r="N311" t="s">
        <v>61</v>
      </c>
    </row>
    <row r="312" spans="1:15" x14ac:dyDescent="0.25">
      <c r="A312" t="s">
        <v>679</v>
      </c>
      <c r="B312" t="s">
        <v>240</v>
      </c>
      <c r="C312" t="s">
        <v>241</v>
      </c>
      <c r="D312" s="6">
        <v>46058</v>
      </c>
      <c r="E312" t="s">
        <v>31</v>
      </c>
      <c r="F312" t="s">
        <v>65</v>
      </c>
      <c r="G312" t="s">
        <v>46</v>
      </c>
      <c r="H312" t="s">
        <v>66</v>
      </c>
      <c r="I312">
        <v>4</v>
      </c>
      <c r="J312" s="11">
        <v>2135050</v>
      </c>
      <c r="K312" s="11">
        <v>50000</v>
      </c>
      <c r="L312" t="s">
        <v>48</v>
      </c>
      <c r="M312" t="s">
        <v>71</v>
      </c>
      <c r="N312" t="s">
        <v>61</v>
      </c>
    </row>
    <row r="313" spans="1:15" x14ac:dyDescent="0.25">
      <c r="A313" t="s">
        <v>680</v>
      </c>
      <c r="B313" t="s">
        <v>681</v>
      </c>
      <c r="C313" t="s">
        <v>57</v>
      </c>
      <c r="D313" s="6">
        <v>46034</v>
      </c>
      <c r="E313" t="s">
        <v>41</v>
      </c>
      <c r="F313" t="s">
        <v>42</v>
      </c>
      <c r="G313" t="s">
        <v>81</v>
      </c>
      <c r="H313" t="s">
        <v>34</v>
      </c>
      <c r="I313">
        <v>3</v>
      </c>
      <c r="J313" s="11">
        <v>551238</v>
      </c>
      <c r="K313" s="11">
        <v>50000</v>
      </c>
      <c r="L313" t="s">
        <v>35</v>
      </c>
      <c r="M313" t="s">
        <v>71</v>
      </c>
      <c r="N313" t="s">
        <v>61</v>
      </c>
    </row>
    <row r="314" spans="1:15" x14ac:dyDescent="0.25">
      <c r="A314" t="s">
        <v>682</v>
      </c>
      <c r="B314" t="s">
        <v>683</v>
      </c>
      <c r="C314" t="s">
        <v>170</v>
      </c>
      <c r="D314" s="6">
        <v>46132</v>
      </c>
      <c r="E314" t="s">
        <v>41</v>
      </c>
      <c r="F314" t="s">
        <v>65</v>
      </c>
      <c r="G314" t="s">
        <v>60</v>
      </c>
      <c r="H314" t="s">
        <v>34</v>
      </c>
      <c r="I314">
        <v>3</v>
      </c>
      <c r="J314" s="11">
        <v>1736413</v>
      </c>
      <c r="K314" s="11">
        <v>15000</v>
      </c>
      <c r="L314" t="s">
        <v>35</v>
      </c>
      <c r="M314" t="s">
        <v>67</v>
      </c>
      <c r="N314" t="s">
        <v>61</v>
      </c>
    </row>
    <row r="315" spans="1:15" x14ac:dyDescent="0.25">
      <c r="A315" t="s">
        <v>684</v>
      </c>
      <c r="B315" t="s">
        <v>685</v>
      </c>
      <c r="C315" t="s">
        <v>79</v>
      </c>
      <c r="D315" s="6">
        <v>46049</v>
      </c>
      <c r="E315" t="s">
        <v>58</v>
      </c>
      <c r="F315" t="s">
        <v>65</v>
      </c>
      <c r="G315" t="s">
        <v>46</v>
      </c>
      <c r="H315" t="s">
        <v>34</v>
      </c>
      <c r="I315">
        <v>1</v>
      </c>
      <c r="J315" s="11">
        <v>1302014</v>
      </c>
      <c r="K315" s="11">
        <v>25000</v>
      </c>
      <c r="L315" t="s">
        <v>35</v>
      </c>
      <c r="M315" t="s">
        <v>67</v>
      </c>
      <c r="N315" t="s">
        <v>61</v>
      </c>
    </row>
    <row r="316" spans="1:15" hidden="1" x14ac:dyDescent="0.25">
      <c r="A316" t="s">
        <v>686</v>
      </c>
      <c r="B316" t="s">
        <v>544</v>
      </c>
      <c r="C316" t="s">
        <v>377</v>
      </c>
      <c r="D316" s="6">
        <v>46158</v>
      </c>
      <c r="E316" t="s">
        <v>80</v>
      </c>
      <c r="F316" t="s">
        <v>32</v>
      </c>
      <c r="G316" t="s">
        <v>33</v>
      </c>
      <c r="H316" t="s">
        <v>54</v>
      </c>
      <c r="I316">
        <v>2</v>
      </c>
      <c r="J316" s="11">
        <v>1524437</v>
      </c>
      <c r="K316" s="11">
        <v>50000</v>
      </c>
      <c r="L316" t="s">
        <v>35</v>
      </c>
      <c r="M316" t="s">
        <v>67</v>
      </c>
      <c r="N316" t="s">
        <v>37</v>
      </c>
    </row>
    <row r="317" spans="1:15" hidden="1" x14ac:dyDescent="0.25">
      <c r="A317" t="s">
        <v>687</v>
      </c>
      <c r="B317" t="s">
        <v>688</v>
      </c>
      <c r="C317" t="s">
        <v>689</v>
      </c>
      <c r="D317" s="6">
        <v>46150</v>
      </c>
      <c r="E317" t="s">
        <v>58</v>
      </c>
      <c r="F317" t="s">
        <v>42</v>
      </c>
      <c r="G317" t="s">
        <v>75</v>
      </c>
      <c r="H317" t="s">
        <v>34</v>
      </c>
      <c r="I317">
        <v>7</v>
      </c>
      <c r="J317" s="11">
        <v>1668170</v>
      </c>
      <c r="K317" s="11">
        <v>25000</v>
      </c>
      <c r="L317" t="s">
        <v>245</v>
      </c>
      <c r="M317" t="s">
        <v>71</v>
      </c>
      <c r="N317" t="s">
        <v>37</v>
      </c>
    </row>
    <row r="318" spans="1:15" x14ac:dyDescent="0.25">
      <c r="A318" t="s">
        <v>690</v>
      </c>
      <c r="B318" t="s">
        <v>128</v>
      </c>
      <c r="C318" t="s">
        <v>129</v>
      </c>
      <c r="D318" s="6">
        <v>46122</v>
      </c>
      <c r="E318" t="s">
        <v>80</v>
      </c>
      <c r="F318" t="s">
        <v>42</v>
      </c>
      <c r="G318" t="s">
        <v>81</v>
      </c>
      <c r="H318" t="s">
        <v>66</v>
      </c>
      <c r="I318">
        <v>7</v>
      </c>
      <c r="J318" s="11">
        <v>1993576</v>
      </c>
      <c r="K318" s="11">
        <v>35000</v>
      </c>
      <c r="L318" t="s">
        <v>35</v>
      </c>
      <c r="M318" t="s">
        <v>36</v>
      </c>
      <c r="N318" t="s">
        <v>61</v>
      </c>
    </row>
    <row r="319" spans="1:15" hidden="1" x14ac:dyDescent="0.25">
      <c r="A319" t="s">
        <v>691</v>
      </c>
      <c r="B319" t="s">
        <v>286</v>
      </c>
      <c r="C319" t="s">
        <v>45</v>
      </c>
      <c r="D319" s="6">
        <v>46121</v>
      </c>
      <c r="E319" t="s">
        <v>41</v>
      </c>
      <c r="F319" t="s">
        <v>32</v>
      </c>
      <c r="G319" t="s">
        <v>85</v>
      </c>
      <c r="H319" t="s">
        <v>34</v>
      </c>
      <c r="I319">
        <v>4</v>
      </c>
      <c r="J319" s="11">
        <v>1598948</v>
      </c>
      <c r="K319" s="11">
        <v>25000</v>
      </c>
      <c r="L319" t="s">
        <v>35</v>
      </c>
      <c r="M319" t="s">
        <v>36</v>
      </c>
      <c r="N319" t="s">
        <v>37</v>
      </c>
    </row>
    <row r="320" spans="1:15" hidden="1" x14ac:dyDescent="0.25">
      <c r="A320" t="s">
        <v>692</v>
      </c>
      <c r="B320" t="s">
        <v>381</v>
      </c>
      <c r="C320" t="s">
        <v>382</v>
      </c>
      <c r="D320" s="6">
        <v>46163</v>
      </c>
      <c r="E320" t="s">
        <v>31</v>
      </c>
      <c r="F320" t="s">
        <v>59</v>
      </c>
      <c r="G320" t="s">
        <v>81</v>
      </c>
      <c r="H320" t="s">
        <v>76</v>
      </c>
      <c r="I320">
        <v>5</v>
      </c>
      <c r="J320" s="11">
        <v>2204998</v>
      </c>
      <c r="K320" s="11">
        <v>50000</v>
      </c>
      <c r="L320" t="s">
        <v>35</v>
      </c>
      <c r="M320" t="s">
        <v>36</v>
      </c>
      <c r="N320" t="s">
        <v>37</v>
      </c>
    </row>
    <row r="321" spans="1:15" x14ac:dyDescent="0.25">
      <c r="A321" t="s">
        <v>693</v>
      </c>
      <c r="B321" t="s">
        <v>694</v>
      </c>
      <c r="C321" t="s">
        <v>208</v>
      </c>
      <c r="D321" s="6">
        <v>46170</v>
      </c>
      <c r="E321" t="s">
        <v>58</v>
      </c>
      <c r="F321" t="s">
        <v>32</v>
      </c>
      <c r="G321" t="s">
        <v>46</v>
      </c>
      <c r="H321" t="s">
        <v>47</v>
      </c>
      <c r="I321">
        <v>2</v>
      </c>
      <c r="J321" s="11">
        <v>1039953</v>
      </c>
      <c r="K321" s="11">
        <v>0</v>
      </c>
      <c r="L321" t="s">
        <v>35</v>
      </c>
      <c r="M321" t="s">
        <v>67</v>
      </c>
      <c r="N321" t="s">
        <v>61</v>
      </c>
      <c r="O321" t="s">
        <v>1377</v>
      </c>
    </row>
    <row r="322" spans="1:15" hidden="1" x14ac:dyDescent="0.25">
      <c r="A322" t="s">
        <v>695</v>
      </c>
      <c r="B322" t="s">
        <v>696</v>
      </c>
      <c r="C322" t="s">
        <v>689</v>
      </c>
      <c r="D322" s="6">
        <v>46051</v>
      </c>
      <c r="E322" t="s">
        <v>80</v>
      </c>
      <c r="F322" t="s">
        <v>59</v>
      </c>
      <c r="G322" t="s">
        <v>85</v>
      </c>
      <c r="H322" t="s">
        <v>76</v>
      </c>
      <c r="I322">
        <v>3</v>
      </c>
      <c r="J322" s="11">
        <v>369885</v>
      </c>
      <c r="K322" s="11">
        <v>25000</v>
      </c>
      <c r="L322" t="s">
        <v>48</v>
      </c>
      <c r="M322" t="s">
        <v>49</v>
      </c>
      <c r="N322" t="s">
        <v>37</v>
      </c>
    </row>
    <row r="323" spans="1:15" hidden="1" x14ac:dyDescent="0.25">
      <c r="A323" t="s">
        <v>698</v>
      </c>
      <c r="B323" t="s">
        <v>699</v>
      </c>
      <c r="C323" t="s">
        <v>104</v>
      </c>
      <c r="D323" s="6">
        <v>46076</v>
      </c>
      <c r="E323" t="s">
        <v>31</v>
      </c>
      <c r="F323" t="s">
        <v>59</v>
      </c>
      <c r="G323" t="s">
        <v>75</v>
      </c>
      <c r="H323" t="s">
        <v>54</v>
      </c>
      <c r="I323">
        <v>6</v>
      </c>
      <c r="J323" s="11">
        <v>1061986</v>
      </c>
      <c r="K323" s="11">
        <v>0</v>
      </c>
      <c r="L323" t="s">
        <v>35</v>
      </c>
      <c r="M323" t="s">
        <v>49</v>
      </c>
      <c r="N323" t="s">
        <v>37</v>
      </c>
      <c r="O323" t="s">
        <v>1377</v>
      </c>
    </row>
    <row r="324" spans="1:15" x14ac:dyDescent="0.25">
      <c r="A324" t="s">
        <v>700</v>
      </c>
      <c r="B324" t="s">
        <v>149</v>
      </c>
      <c r="C324" t="s">
        <v>114</v>
      </c>
      <c r="D324" s="6">
        <v>46036</v>
      </c>
      <c r="E324" t="s">
        <v>31</v>
      </c>
      <c r="F324" t="s">
        <v>65</v>
      </c>
      <c r="G324" t="s">
        <v>85</v>
      </c>
      <c r="H324" t="s">
        <v>66</v>
      </c>
      <c r="I324">
        <v>1</v>
      </c>
      <c r="J324" s="11">
        <v>564637</v>
      </c>
      <c r="K324" s="11">
        <v>50000</v>
      </c>
      <c r="L324" t="s">
        <v>35</v>
      </c>
      <c r="M324" t="s">
        <v>36</v>
      </c>
      <c r="N324" t="s">
        <v>61</v>
      </c>
    </row>
    <row r="325" spans="1:15" hidden="1" x14ac:dyDescent="0.25">
      <c r="A325" t="s">
        <v>701</v>
      </c>
      <c r="B325" t="s">
        <v>702</v>
      </c>
      <c r="C325" t="s">
        <v>101</v>
      </c>
      <c r="D325" s="6">
        <v>46085</v>
      </c>
      <c r="E325" t="s">
        <v>41</v>
      </c>
      <c r="F325" t="s">
        <v>42</v>
      </c>
      <c r="G325" t="s">
        <v>75</v>
      </c>
      <c r="H325" t="s">
        <v>76</v>
      </c>
      <c r="I325">
        <v>5</v>
      </c>
      <c r="J325" s="11">
        <v>443235</v>
      </c>
      <c r="K325" s="11">
        <v>0</v>
      </c>
      <c r="L325" t="s">
        <v>48</v>
      </c>
      <c r="M325" t="s">
        <v>49</v>
      </c>
      <c r="N325" t="s">
        <v>37</v>
      </c>
      <c r="O325" t="s">
        <v>1377</v>
      </c>
    </row>
    <row r="326" spans="1:15" x14ac:dyDescent="0.25">
      <c r="A326" t="s">
        <v>703</v>
      </c>
      <c r="B326" t="s">
        <v>172</v>
      </c>
      <c r="C326" t="s">
        <v>173</v>
      </c>
      <c r="E326" t="s">
        <v>58</v>
      </c>
      <c r="F326" t="s">
        <v>42</v>
      </c>
      <c r="G326" t="s">
        <v>81</v>
      </c>
      <c r="H326" t="s">
        <v>54</v>
      </c>
      <c r="I326">
        <v>7</v>
      </c>
      <c r="J326" s="11">
        <v>1534893</v>
      </c>
      <c r="K326" s="11">
        <v>35000</v>
      </c>
      <c r="L326" t="s">
        <v>35</v>
      </c>
      <c r="M326" t="s">
        <v>67</v>
      </c>
      <c r="N326" t="s">
        <v>61</v>
      </c>
      <c r="O326" t="s">
        <v>1375</v>
      </c>
    </row>
    <row r="327" spans="1:15" hidden="1" x14ac:dyDescent="0.25">
      <c r="A327" t="s">
        <v>705</v>
      </c>
      <c r="B327" t="s">
        <v>590</v>
      </c>
      <c r="C327" t="s">
        <v>176</v>
      </c>
      <c r="D327" s="6">
        <v>46064</v>
      </c>
      <c r="E327" t="s">
        <v>41</v>
      </c>
      <c r="F327" t="s">
        <v>32</v>
      </c>
      <c r="G327" t="s">
        <v>46</v>
      </c>
      <c r="H327" t="s">
        <v>76</v>
      </c>
      <c r="I327">
        <v>7</v>
      </c>
      <c r="J327" s="11">
        <v>165581</v>
      </c>
      <c r="K327" s="11">
        <v>35000</v>
      </c>
      <c r="L327" t="s">
        <v>35</v>
      </c>
      <c r="M327" t="s">
        <v>49</v>
      </c>
      <c r="N327" t="s">
        <v>37</v>
      </c>
    </row>
    <row r="328" spans="1:15" x14ac:dyDescent="0.25">
      <c r="A328" t="s">
        <v>706</v>
      </c>
      <c r="B328" t="s">
        <v>707</v>
      </c>
      <c r="C328" t="s">
        <v>70</v>
      </c>
      <c r="D328" s="6">
        <v>46081</v>
      </c>
      <c r="E328" t="s">
        <v>31</v>
      </c>
      <c r="F328" t="s">
        <v>42</v>
      </c>
      <c r="G328" t="s">
        <v>60</v>
      </c>
      <c r="H328" t="s">
        <v>76</v>
      </c>
      <c r="I328">
        <v>3</v>
      </c>
      <c r="J328" s="11">
        <v>1897001</v>
      </c>
      <c r="K328" s="11">
        <v>15000</v>
      </c>
      <c r="L328" t="s">
        <v>89</v>
      </c>
      <c r="M328" t="s">
        <v>49</v>
      </c>
      <c r="N328" t="s">
        <v>61</v>
      </c>
    </row>
    <row r="329" spans="1:15" x14ac:dyDescent="0.25">
      <c r="A329" t="s">
        <v>708</v>
      </c>
      <c r="B329" t="s">
        <v>528</v>
      </c>
      <c r="C329" t="s">
        <v>170</v>
      </c>
      <c r="E329" t="s">
        <v>80</v>
      </c>
      <c r="F329" t="s">
        <v>59</v>
      </c>
      <c r="G329" t="s">
        <v>60</v>
      </c>
      <c r="H329" t="s">
        <v>34</v>
      </c>
      <c r="I329">
        <v>5</v>
      </c>
      <c r="J329" s="11"/>
      <c r="K329" s="11">
        <v>50000</v>
      </c>
      <c r="L329" t="s">
        <v>48</v>
      </c>
      <c r="M329" t="s">
        <v>71</v>
      </c>
      <c r="N329" t="s">
        <v>61</v>
      </c>
      <c r="O329" t="s">
        <v>1382</v>
      </c>
    </row>
    <row r="330" spans="1:15" hidden="1" x14ac:dyDescent="0.25">
      <c r="A330" t="s">
        <v>709</v>
      </c>
      <c r="B330" t="s">
        <v>710</v>
      </c>
      <c r="C330" t="s">
        <v>101</v>
      </c>
      <c r="D330" s="6">
        <v>46118</v>
      </c>
      <c r="E330" t="s">
        <v>53</v>
      </c>
      <c r="F330" t="s">
        <v>32</v>
      </c>
      <c r="G330" t="s">
        <v>81</v>
      </c>
      <c r="H330" t="s">
        <v>34</v>
      </c>
      <c r="I330">
        <v>3</v>
      </c>
      <c r="J330" s="11">
        <v>1899315</v>
      </c>
      <c r="K330" s="11">
        <v>15000</v>
      </c>
      <c r="L330" t="s">
        <v>35</v>
      </c>
      <c r="M330" t="s">
        <v>67</v>
      </c>
      <c r="N330" t="s">
        <v>37</v>
      </c>
    </row>
    <row r="331" spans="1:15" x14ac:dyDescent="0.25">
      <c r="A331" t="s">
        <v>711</v>
      </c>
      <c r="B331" t="s">
        <v>579</v>
      </c>
      <c r="C331" t="s">
        <v>30</v>
      </c>
      <c r="D331" s="6">
        <v>46161</v>
      </c>
      <c r="E331" t="s">
        <v>80</v>
      </c>
      <c r="F331" t="s">
        <v>42</v>
      </c>
      <c r="G331" t="s">
        <v>46</v>
      </c>
      <c r="H331" t="s">
        <v>34</v>
      </c>
      <c r="I331">
        <v>2</v>
      </c>
      <c r="J331" s="11">
        <v>566544</v>
      </c>
      <c r="K331" s="11">
        <v>0</v>
      </c>
      <c r="L331" t="s">
        <v>35</v>
      </c>
      <c r="M331" t="s">
        <v>36</v>
      </c>
      <c r="N331" t="s">
        <v>61</v>
      </c>
      <c r="O331" t="s">
        <v>1377</v>
      </c>
    </row>
    <row r="332" spans="1:15" x14ac:dyDescent="0.25">
      <c r="A332" t="s">
        <v>712</v>
      </c>
      <c r="B332" t="s">
        <v>480</v>
      </c>
      <c r="C332" t="s">
        <v>101</v>
      </c>
      <c r="D332" s="6">
        <v>46091</v>
      </c>
      <c r="E332" t="s">
        <v>41</v>
      </c>
      <c r="F332" t="s">
        <v>65</v>
      </c>
      <c r="G332" t="s">
        <v>81</v>
      </c>
      <c r="H332" t="s">
        <v>66</v>
      </c>
      <c r="I332">
        <v>5</v>
      </c>
      <c r="J332" s="11">
        <v>476680</v>
      </c>
      <c r="K332" s="11">
        <v>50000</v>
      </c>
      <c r="L332" t="s">
        <v>35</v>
      </c>
      <c r="M332" t="s">
        <v>49</v>
      </c>
      <c r="N332" t="s">
        <v>61</v>
      </c>
    </row>
    <row r="333" spans="1:15" hidden="1" x14ac:dyDescent="0.25">
      <c r="A333" t="s">
        <v>713</v>
      </c>
      <c r="B333" t="s">
        <v>218</v>
      </c>
      <c r="C333" t="s">
        <v>219</v>
      </c>
      <c r="D333" s="6">
        <v>46025</v>
      </c>
      <c r="E333" t="s">
        <v>41</v>
      </c>
      <c r="F333" t="s">
        <v>32</v>
      </c>
      <c r="G333" t="s">
        <v>85</v>
      </c>
      <c r="H333" t="s">
        <v>54</v>
      </c>
      <c r="I333">
        <v>4</v>
      </c>
      <c r="J333" s="11">
        <v>1615894</v>
      </c>
      <c r="K333" s="11">
        <v>25000</v>
      </c>
      <c r="L333" t="s">
        <v>35</v>
      </c>
      <c r="M333" t="s">
        <v>67</v>
      </c>
      <c r="N333" t="s">
        <v>37</v>
      </c>
    </row>
    <row r="334" spans="1:15" hidden="1" x14ac:dyDescent="0.25">
      <c r="A334" t="s">
        <v>715</v>
      </c>
      <c r="B334" t="s">
        <v>549</v>
      </c>
      <c r="C334" t="s">
        <v>198</v>
      </c>
      <c r="D334" s="6">
        <v>46151</v>
      </c>
      <c r="E334" t="s">
        <v>41</v>
      </c>
      <c r="F334" t="s">
        <v>59</v>
      </c>
      <c r="G334" t="s">
        <v>46</v>
      </c>
      <c r="H334" t="s">
        <v>54</v>
      </c>
      <c r="I334">
        <v>7</v>
      </c>
      <c r="J334" s="11">
        <v>543636</v>
      </c>
      <c r="K334" s="11">
        <v>50000</v>
      </c>
      <c r="L334" t="s">
        <v>35</v>
      </c>
      <c r="M334" t="s">
        <v>67</v>
      </c>
      <c r="N334" t="s">
        <v>37</v>
      </c>
    </row>
    <row r="335" spans="1:15" hidden="1" x14ac:dyDescent="0.25">
      <c r="A335" t="s">
        <v>716</v>
      </c>
      <c r="B335" t="s">
        <v>579</v>
      </c>
      <c r="C335" t="s">
        <v>30</v>
      </c>
      <c r="D335" s="6">
        <v>46061</v>
      </c>
      <c r="E335" t="s">
        <v>31</v>
      </c>
      <c r="F335" t="s">
        <v>42</v>
      </c>
      <c r="G335" t="s">
        <v>75</v>
      </c>
      <c r="H335" t="s">
        <v>34</v>
      </c>
      <c r="I335">
        <v>6</v>
      </c>
      <c r="J335" s="11">
        <v>2062408</v>
      </c>
      <c r="K335" s="11">
        <v>0</v>
      </c>
      <c r="L335" t="s">
        <v>35</v>
      </c>
      <c r="M335" t="s">
        <v>36</v>
      </c>
      <c r="N335" t="s">
        <v>37</v>
      </c>
      <c r="O335" t="s">
        <v>1377</v>
      </c>
    </row>
    <row r="336" spans="1:15" x14ac:dyDescent="0.25">
      <c r="A336" t="s">
        <v>717</v>
      </c>
      <c r="B336" t="s">
        <v>113</v>
      </c>
      <c r="C336" t="s">
        <v>114</v>
      </c>
      <c r="D336" s="6">
        <v>46056</v>
      </c>
      <c r="E336" t="s">
        <v>58</v>
      </c>
      <c r="F336" t="s">
        <v>59</v>
      </c>
      <c r="G336" t="s">
        <v>85</v>
      </c>
      <c r="H336" t="s">
        <v>34</v>
      </c>
      <c r="I336">
        <v>3</v>
      </c>
      <c r="J336" s="11">
        <v>1541955</v>
      </c>
      <c r="K336" s="11">
        <v>25000</v>
      </c>
      <c r="L336" t="s">
        <v>35</v>
      </c>
      <c r="M336" t="s">
        <v>49</v>
      </c>
      <c r="N336" t="s">
        <v>61</v>
      </c>
    </row>
    <row r="337" spans="1:15" hidden="1" x14ac:dyDescent="0.25">
      <c r="A337" t="s">
        <v>718</v>
      </c>
      <c r="B337" t="s">
        <v>638</v>
      </c>
      <c r="C337" t="s">
        <v>241</v>
      </c>
      <c r="D337" s="6">
        <v>46168</v>
      </c>
      <c r="E337" t="s">
        <v>80</v>
      </c>
      <c r="F337" t="s">
        <v>65</v>
      </c>
      <c r="G337" t="s">
        <v>60</v>
      </c>
      <c r="H337" t="s">
        <v>54</v>
      </c>
      <c r="I337">
        <v>7</v>
      </c>
      <c r="J337" s="11">
        <v>2206761</v>
      </c>
      <c r="K337" s="11">
        <v>0</v>
      </c>
      <c r="L337" t="s">
        <v>35</v>
      </c>
      <c r="M337" t="s">
        <v>36</v>
      </c>
      <c r="N337" t="s">
        <v>37</v>
      </c>
      <c r="O337" t="s">
        <v>1377</v>
      </c>
    </row>
    <row r="338" spans="1:15" hidden="1" x14ac:dyDescent="0.25">
      <c r="A338" t="s">
        <v>719</v>
      </c>
      <c r="B338" t="s">
        <v>259</v>
      </c>
      <c r="C338" t="s">
        <v>260</v>
      </c>
      <c r="D338" s="6">
        <v>46066</v>
      </c>
      <c r="E338" t="s">
        <v>58</v>
      </c>
      <c r="F338" t="s">
        <v>65</v>
      </c>
      <c r="G338" t="s">
        <v>85</v>
      </c>
      <c r="H338" t="s">
        <v>47</v>
      </c>
      <c r="I338">
        <v>1</v>
      </c>
      <c r="J338" s="11">
        <v>1359870</v>
      </c>
      <c r="K338" s="11">
        <v>15000</v>
      </c>
      <c r="L338" t="s">
        <v>35</v>
      </c>
      <c r="M338" t="s">
        <v>36</v>
      </c>
      <c r="N338" t="s">
        <v>37</v>
      </c>
    </row>
    <row r="339" spans="1:15" x14ac:dyDescent="0.25">
      <c r="A339" t="s">
        <v>720</v>
      </c>
      <c r="B339" t="s">
        <v>97</v>
      </c>
      <c r="C339" t="s">
        <v>98</v>
      </c>
      <c r="D339" s="6">
        <v>46088</v>
      </c>
      <c r="E339" t="s">
        <v>80</v>
      </c>
      <c r="F339" t="s">
        <v>59</v>
      </c>
      <c r="G339" t="s">
        <v>60</v>
      </c>
      <c r="H339" t="s">
        <v>76</v>
      </c>
      <c r="I339">
        <v>1</v>
      </c>
      <c r="J339" s="11">
        <v>1974072</v>
      </c>
      <c r="K339" s="11">
        <v>15000</v>
      </c>
      <c r="L339" t="s">
        <v>89</v>
      </c>
      <c r="M339" t="s">
        <v>71</v>
      </c>
      <c r="N339" t="s">
        <v>61</v>
      </c>
    </row>
    <row r="340" spans="1:15" x14ac:dyDescent="0.25">
      <c r="A340" t="s">
        <v>721</v>
      </c>
      <c r="B340" t="s">
        <v>641</v>
      </c>
      <c r="C340" t="s">
        <v>642</v>
      </c>
      <c r="D340" s="6">
        <v>46116</v>
      </c>
      <c r="E340" t="s">
        <v>53</v>
      </c>
      <c r="F340" t="s">
        <v>59</v>
      </c>
      <c r="G340" t="s">
        <v>33</v>
      </c>
      <c r="H340" t="s">
        <v>54</v>
      </c>
      <c r="I340">
        <v>3</v>
      </c>
      <c r="J340" s="11">
        <v>2269493</v>
      </c>
      <c r="K340" s="11">
        <v>50000</v>
      </c>
      <c r="L340" t="s">
        <v>35</v>
      </c>
      <c r="M340" t="s">
        <v>36</v>
      </c>
      <c r="N340" t="s">
        <v>61</v>
      </c>
    </row>
    <row r="341" spans="1:15" hidden="1" x14ac:dyDescent="0.25">
      <c r="A341" t="s">
        <v>722</v>
      </c>
      <c r="B341" t="s">
        <v>723</v>
      </c>
      <c r="C341" t="s">
        <v>724</v>
      </c>
      <c r="D341" s="6">
        <v>46085</v>
      </c>
      <c r="E341" t="s">
        <v>41</v>
      </c>
      <c r="F341" t="s">
        <v>65</v>
      </c>
      <c r="G341" t="s">
        <v>85</v>
      </c>
      <c r="H341" t="s">
        <v>47</v>
      </c>
      <c r="I341">
        <v>2</v>
      </c>
      <c r="J341" s="11">
        <v>2472167</v>
      </c>
      <c r="K341" s="11">
        <v>0</v>
      </c>
      <c r="L341" t="s">
        <v>48</v>
      </c>
      <c r="M341" t="s">
        <v>36</v>
      </c>
      <c r="N341" t="s">
        <v>37</v>
      </c>
      <c r="O341" t="s">
        <v>1377</v>
      </c>
    </row>
    <row r="342" spans="1:15" x14ac:dyDescent="0.25">
      <c r="A342" t="s">
        <v>725</v>
      </c>
      <c r="B342" t="s">
        <v>726</v>
      </c>
      <c r="C342" t="s">
        <v>727</v>
      </c>
      <c r="D342" s="6">
        <v>46046</v>
      </c>
      <c r="E342" t="s">
        <v>41</v>
      </c>
      <c r="F342" t="s">
        <v>65</v>
      </c>
      <c r="G342" t="s">
        <v>81</v>
      </c>
      <c r="H342" t="s">
        <v>34</v>
      </c>
      <c r="I342">
        <v>4</v>
      </c>
      <c r="J342" s="11">
        <v>1583551</v>
      </c>
      <c r="K342" s="11">
        <v>35000</v>
      </c>
      <c r="L342" t="s">
        <v>35</v>
      </c>
      <c r="M342" t="s">
        <v>71</v>
      </c>
      <c r="N342" t="s">
        <v>61</v>
      </c>
    </row>
    <row r="343" spans="1:15" x14ac:dyDescent="0.25">
      <c r="A343" t="s">
        <v>728</v>
      </c>
      <c r="B343" t="s">
        <v>688</v>
      </c>
      <c r="C343" t="s">
        <v>689</v>
      </c>
      <c r="D343" s="6">
        <v>46124</v>
      </c>
      <c r="E343" t="s">
        <v>53</v>
      </c>
      <c r="F343" t="s">
        <v>59</v>
      </c>
      <c r="G343" t="s">
        <v>85</v>
      </c>
      <c r="H343" t="s">
        <v>47</v>
      </c>
      <c r="I343">
        <v>4</v>
      </c>
      <c r="J343" s="11">
        <v>1936613</v>
      </c>
      <c r="K343" s="11">
        <v>15000</v>
      </c>
      <c r="L343" t="s">
        <v>35</v>
      </c>
      <c r="M343" t="s">
        <v>67</v>
      </c>
      <c r="N343" t="s">
        <v>61</v>
      </c>
    </row>
    <row r="344" spans="1:15" hidden="1" x14ac:dyDescent="0.25">
      <c r="A344" t="s">
        <v>729</v>
      </c>
      <c r="B344" t="s">
        <v>51</v>
      </c>
      <c r="C344" t="s">
        <v>52</v>
      </c>
      <c r="D344" s="6">
        <v>46139</v>
      </c>
      <c r="E344" t="s">
        <v>31</v>
      </c>
      <c r="F344" t="s">
        <v>32</v>
      </c>
      <c r="G344" t="s">
        <v>46</v>
      </c>
      <c r="H344" t="s">
        <v>54</v>
      </c>
      <c r="I344">
        <v>2</v>
      </c>
      <c r="J344" s="11">
        <v>280567</v>
      </c>
      <c r="K344" s="11">
        <v>50000</v>
      </c>
      <c r="L344" t="s">
        <v>245</v>
      </c>
      <c r="M344" t="s">
        <v>67</v>
      </c>
      <c r="N344" t="s">
        <v>37</v>
      </c>
    </row>
    <row r="345" spans="1:15" x14ac:dyDescent="0.25">
      <c r="A345" t="s">
        <v>730</v>
      </c>
      <c r="B345" t="s">
        <v>427</v>
      </c>
      <c r="C345" t="s">
        <v>388</v>
      </c>
      <c r="D345" s="6">
        <v>46115</v>
      </c>
      <c r="E345" t="s">
        <v>41</v>
      </c>
      <c r="F345" t="s">
        <v>32</v>
      </c>
      <c r="G345" t="s">
        <v>33</v>
      </c>
      <c r="H345" t="s">
        <v>34</v>
      </c>
      <c r="I345">
        <v>2</v>
      </c>
      <c r="J345" s="11">
        <v>1924010</v>
      </c>
      <c r="K345" s="11">
        <v>35000</v>
      </c>
      <c r="L345" t="s">
        <v>35</v>
      </c>
      <c r="M345" t="s">
        <v>71</v>
      </c>
      <c r="N345" t="s">
        <v>61</v>
      </c>
    </row>
    <row r="346" spans="1:15" x14ac:dyDescent="0.25">
      <c r="A346" t="s">
        <v>732</v>
      </c>
      <c r="B346" t="s">
        <v>135</v>
      </c>
      <c r="C346" t="s">
        <v>136</v>
      </c>
      <c r="D346" s="6">
        <v>46040</v>
      </c>
      <c r="E346" t="s">
        <v>41</v>
      </c>
      <c r="F346" t="s">
        <v>42</v>
      </c>
      <c r="G346" t="s">
        <v>75</v>
      </c>
      <c r="H346" t="s">
        <v>66</v>
      </c>
      <c r="I346">
        <v>1</v>
      </c>
      <c r="J346" s="11">
        <v>1268842</v>
      </c>
      <c r="K346" s="11">
        <v>35000</v>
      </c>
      <c r="L346" t="s">
        <v>35</v>
      </c>
      <c r="M346" t="s">
        <v>36</v>
      </c>
      <c r="N346" t="s">
        <v>61</v>
      </c>
    </row>
    <row r="347" spans="1:15" x14ac:dyDescent="0.25">
      <c r="A347" t="s">
        <v>733</v>
      </c>
      <c r="B347" t="s">
        <v>415</v>
      </c>
      <c r="C347" t="s">
        <v>141</v>
      </c>
      <c r="D347" s="6">
        <v>46036</v>
      </c>
      <c r="E347" t="s">
        <v>41</v>
      </c>
      <c r="F347" t="s">
        <v>59</v>
      </c>
      <c r="G347" t="s">
        <v>60</v>
      </c>
      <c r="H347" t="s">
        <v>76</v>
      </c>
      <c r="I347">
        <v>3</v>
      </c>
      <c r="J347" s="11">
        <v>507726</v>
      </c>
      <c r="K347" s="11">
        <v>35000</v>
      </c>
      <c r="L347" t="s">
        <v>89</v>
      </c>
      <c r="M347" t="s">
        <v>36</v>
      </c>
      <c r="N347" t="s">
        <v>61</v>
      </c>
    </row>
    <row r="348" spans="1:15" x14ac:dyDescent="0.25">
      <c r="A348" t="s">
        <v>735</v>
      </c>
      <c r="B348" t="s">
        <v>551</v>
      </c>
      <c r="C348" t="s">
        <v>84</v>
      </c>
      <c r="D348" s="6">
        <v>46134</v>
      </c>
      <c r="E348" t="s">
        <v>31</v>
      </c>
      <c r="F348" t="s">
        <v>65</v>
      </c>
      <c r="G348" t="s">
        <v>75</v>
      </c>
      <c r="H348" t="s">
        <v>76</v>
      </c>
      <c r="I348">
        <v>4</v>
      </c>
      <c r="J348" s="11">
        <v>1607687</v>
      </c>
      <c r="K348" s="11">
        <v>50000</v>
      </c>
      <c r="L348" t="s">
        <v>48</v>
      </c>
      <c r="M348" t="s">
        <v>49</v>
      </c>
      <c r="N348" t="s">
        <v>61</v>
      </c>
    </row>
    <row r="349" spans="1:15" hidden="1" x14ac:dyDescent="0.25">
      <c r="A349" t="s">
        <v>736</v>
      </c>
      <c r="B349" t="s">
        <v>737</v>
      </c>
      <c r="C349" t="s">
        <v>158</v>
      </c>
      <c r="D349" s="6">
        <v>46193</v>
      </c>
      <c r="E349" t="s">
        <v>80</v>
      </c>
      <c r="F349" t="s">
        <v>65</v>
      </c>
      <c r="G349" t="s">
        <v>75</v>
      </c>
      <c r="H349" t="s">
        <v>47</v>
      </c>
      <c r="I349">
        <v>2</v>
      </c>
      <c r="J349" s="11">
        <v>1447561</v>
      </c>
      <c r="K349" s="11">
        <v>0</v>
      </c>
      <c r="L349" t="s">
        <v>48</v>
      </c>
      <c r="M349" t="s">
        <v>71</v>
      </c>
      <c r="N349" t="s">
        <v>37</v>
      </c>
      <c r="O349" t="s">
        <v>1377</v>
      </c>
    </row>
    <row r="350" spans="1:15" hidden="1" x14ac:dyDescent="0.25">
      <c r="A350" t="s">
        <v>738</v>
      </c>
      <c r="B350" t="s">
        <v>262</v>
      </c>
      <c r="C350" t="s">
        <v>263</v>
      </c>
      <c r="D350" s="6">
        <v>46023</v>
      </c>
      <c r="E350" t="s">
        <v>58</v>
      </c>
      <c r="F350" t="s">
        <v>65</v>
      </c>
      <c r="G350" t="s">
        <v>85</v>
      </c>
      <c r="H350" t="s">
        <v>34</v>
      </c>
      <c r="I350">
        <v>6</v>
      </c>
      <c r="J350" s="11">
        <v>2009781</v>
      </c>
      <c r="K350" s="11">
        <v>15000</v>
      </c>
      <c r="L350" t="s">
        <v>35</v>
      </c>
      <c r="M350" t="s">
        <v>49</v>
      </c>
      <c r="N350" t="s">
        <v>37</v>
      </c>
    </row>
    <row r="351" spans="1:15" x14ac:dyDescent="0.25">
      <c r="A351" t="s">
        <v>739</v>
      </c>
      <c r="B351" t="s">
        <v>551</v>
      </c>
      <c r="C351" t="s">
        <v>84</v>
      </c>
      <c r="D351" s="6">
        <v>46162</v>
      </c>
      <c r="E351" t="s">
        <v>31</v>
      </c>
      <c r="F351" t="s">
        <v>65</v>
      </c>
      <c r="G351" t="s">
        <v>33</v>
      </c>
      <c r="H351" t="s">
        <v>66</v>
      </c>
      <c r="I351">
        <v>4</v>
      </c>
      <c r="J351" s="11">
        <v>816678</v>
      </c>
      <c r="K351" s="11">
        <v>50000</v>
      </c>
      <c r="L351" t="s">
        <v>35</v>
      </c>
      <c r="M351" t="s">
        <v>67</v>
      </c>
      <c r="N351" t="s">
        <v>61</v>
      </c>
    </row>
    <row r="352" spans="1:15" hidden="1" x14ac:dyDescent="0.25">
      <c r="A352" t="s">
        <v>741</v>
      </c>
      <c r="B352" t="s">
        <v>298</v>
      </c>
      <c r="C352" t="s">
        <v>88</v>
      </c>
      <c r="D352" s="6">
        <v>46101</v>
      </c>
      <c r="E352" t="s">
        <v>41</v>
      </c>
      <c r="F352" t="s">
        <v>59</v>
      </c>
      <c r="G352" t="s">
        <v>33</v>
      </c>
      <c r="H352" t="s">
        <v>66</v>
      </c>
      <c r="I352">
        <v>6</v>
      </c>
      <c r="J352" s="11">
        <v>2225897</v>
      </c>
      <c r="K352" s="11">
        <v>0</v>
      </c>
      <c r="L352" t="s">
        <v>35</v>
      </c>
      <c r="M352" t="s">
        <v>49</v>
      </c>
      <c r="N352" t="s">
        <v>37</v>
      </c>
      <c r="O352" t="s">
        <v>1377</v>
      </c>
    </row>
    <row r="353" spans="1:15" hidden="1" x14ac:dyDescent="0.25">
      <c r="A353" t="s">
        <v>742</v>
      </c>
      <c r="B353" t="s">
        <v>262</v>
      </c>
      <c r="C353" t="s">
        <v>263</v>
      </c>
      <c r="D353" s="6">
        <v>46108</v>
      </c>
      <c r="E353" t="s">
        <v>53</v>
      </c>
      <c r="F353" t="s">
        <v>42</v>
      </c>
      <c r="G353" t="s">
        <v>46</v>
      </c>
      <c r="H353" t="s">
        <v>47</v>
      </c>
      <c r="I353">
        <v>4</v>
      </c>
      <c r="J353" s="11">
        <v>595550</v>
      </c>
      <c r="K353" s="11">
        <v>15000</v>
      </c>
      <c r="L353" t="s">
        <v>35</v>
      </c>
      <c r="N353" t="s">
        <v>37</v>
      </c>
      <c r="O353" t="s">
        <v>1379</v>
      </c>
    </row>
    <row r="354" spans="1:15" x14ac:dyDescent="0.25">
      <c r="A354" t="s">
        <v>743</v>
      </c>
      <c r="B354" t="s">
        <v>302</v>
      </c>
      <c r="C354" t="s">
        <v>111</v>
      </c>
      <c r="D354" s="6">
        <v>46191</v>
      </c>
      <c r="E354" t="s">
        <v>58</v>
      </c>
      <c r="F354" t="s">
        <v>65</v>
      </c>
      <c r="G354" t="s">
        <v>81</v>
      </c>
      <c r="H354" t="s">
        <v>54</v>
      </c>
      <c r="I354">
        <v>6</v>
      </c>
      <c r="J354" s="11">
        <v>1954981</v>
      </c>
      <c r="K354" s="11">
        <v>25000</v>
      </c>
      <c r="L354" t="s">
        <v>35</v>
      </c>
      <c r="M354" t="s">
        <v>71</v>
      </c>
      <c r="N354" t="s">
        <v>61</v>
      </c>
    </row>
    <row r="355" spans="1:15" x14ac:dyDescent="0.25">
      <c r="A355" t="s">
        <v>744</v>
      </c>
      <c r="B355" t="s">
        <v>745</v>
      </c>
      <c r="C355" t="s">
        <v>158</v>
      </c>
      <c r="D355" s="6">
        <v>46128</v>
      </c>
      <c r="E355" t="s">
        <v>58</v>
      </c>
      <c r="F355" t="s">
        <v>59</v>
      </c>
      <c r="G355" t="s">
        <v>46</v>
      </c>
      <c r="H355" t="s">
        <v>76</v>
      </c>
      <c r="I355">
        <v>6</v>
      </c>
      <c r="J355" s="11">
        <v>554845</v>
      </c>
      <c r="K355" s="11">
        <v>35000</v>
      </c>
      <c r="L355" t="s">
        <v>35</v>
      </c>
      <c r="M355" t="s">
        <v>71</v>
      </c>
      <c r="N355" t="s">
        <v>61</v>
      </c>
    </row>
    <row r="356" spans="1:15" hidden="1" x14ac:dyDescent="0.25">
      <c r="A356" t="s">
        <v>746</v>
      </c>
      <c r="B356" t="s">
        <v>396</v>
      </c>
      <c r="C356" t="s">
        <v>241</v>
      </c>
      <c r="D356" s="6">
        <v>46097</v>
      </c>
      <c r="E356" t="s">
        <v>58</v>
      </c>
      <c r="F356" t="s">
        <v>42</v>
      </c>
      <c r="G356" t="s">
        <v>60</v>
      </c>
      <c r="H356" t="s">
        <v>54</v>
      </c>
      <c r="I356">
        <v>2</v>
      </c>
      <c r="J356" s="11">
        <v>1884295</v>
      </c>
      <c r="K356" s="11">
        <v>15000</v>
      </c>
      <c r="L356" t="s">
        <v>35</v>
      </c>
      <c r="M356" t="s">
        <v>36</v>
      </c>
      <c r="N356" t="s">
        <v>37</v>
      </c>
    </row>
    <row r="357" spans="1:15" hidden="1" x14ac:dyDescent="0.25">
      <c r="A357" t="s">
        <v>747</v>
      </c>
      <c r="B357" t="s">
        <v>461</v>
      </c>
      <c r="C357" t="s">
        <v>152</v>
      </c>
      <c r="D357" s="6">
        <v>46141</v>
      </c>
      <c r="E357" t="s">
        <v>53</v>
      </c>
      <c r="F357" t="s">
        <v>32</v>
      </c>
      <c r="G357" t="s">
        <v>33</v>
      </c>
      <c r="H357" t="s">
        <v>66</v>
      </c>
      <c r="I357">
        <v>1</v>
      </c>
      <c r="J357" s="11">
        <v>1851973</v>
      </c>
      <c r="K357" s="11">
        <v>35000</v>
      </c>
      <c r="L357" t="s">
        <v>245</v>
      </c>
      <c r="M357" t="s">
        <v>71</v>
      </c>
      <c r="N357" t="s">
        <v>37</v>
      </c>
    </row>
    <row r="358" spans="1:15" hidden="1" x14ac:dyDescent="0.25">
      <c r="A358" t="s">
        <v>748</v>
      </c>
      <c r="B358" t="s">
        <v>314</v>
      </c>
      <c r="C358" t="s">
        <v>84</v>
      </c>
      <c r="D358" s="6">
        <v>46129</v>
      </c>
      <c r="E358" t="s">
        <v>80</v>
      </c>
      <c r="F358" t="s">
        <v>32</v>
      </c>
      <c r="G358" t="s">
        <v>33</v>
      </c>
      <c r="H358" t="s">
        <v>34</v>
      </c>
      <c r="I358">
        <v>4</v>
      </c>
      <c r="J358" s="11">
        <v>1133152</v>
      </c>
      <c r="K358" s="11">
        <v>0</v>
      </c>
      <c r="L358" t="s">
        <v>35</v>
      </c>
      <c r="M358" t="s">
        <v>67</v>
      </c>
      <c r="N358" t="s">
        <v>37</v>
      </c>
      <c r="O358" t="s">
        <v>1377</v>
      </c>
    </row>
    <row r="359" spans="1:15" x14ac:dyDescent="0.25">
      <c r="A359" t="s">
        <v>749</v>
      </c>
      <c r="B359" t="s">
        <v>480</v>
      </c>
      <c r="C359" t="s">
        <v>101</v>
      </c>
      <c r="D359" s="6">
        <v>46165</v>
      </c>
      <c r="E359" t="s">
        <v>53</v>
      </c>
      <c r="F359" t="s">
        <v>59</v>
      </c>
      <c r="G359" t="s">
        <v>85</v>
      </c>
      <c r="H359" t="s">
        <v>47</v>
      </c>
      <c r="I359">
        <v>5</v>
      </c>
      <c r="J359" s="11">
        <v>1761492</v>
      </c>
      <c r="K359" s="11">
        <v>15000</v>
      </c>
      <c r="L359" t="s">
        <v>35</v>
      </c>
      <c r="M359" t="s">
        <v>71</v>
      </c>
      <c r="N359" t="s">
        <v>61</v>
      </c>
    </row>
    <row r="360" spans="1:15" hidden="1" x14ac:dyDescent="0.25">
      <c r="A360" t="s">
        <v>750</v>
      </c>
      <c r="B360" t="s">
        <v>751</v>
      </c>
      <c r="C360" t="s">
        <v>119</v>
      </c>
      <c r="D360" s="6">
        <v>46104</v>
      </c>
      <c r="E360" t="s">
        <v>31</v>
      </c>
      <c r="F360" t="s">
        <v>65</v>
      </c>
      <c r="G360" t="s">
        <v>75</v>
      </c>
      <c r="H360" t="s">
        <v>76</v>
      </c>
      <c r="I360">
        <v>4</v>
      </c>
      <c r="J360" s="11">
        <v>2289617</v>
      </c>
      <c r="K360" s="11">
        <v>15000</v>
      </c>
      <c r="L360" t="s">
        <v>35</v>
      </c>
      <c r="M360" t="s">
        <v>36</v>
      </c>
      <c r="N360" t="s">
        <v>37</v>
      </c>
    </row>
    <row r="361" spans="1:15" x14ac:dyDescent="0.25">
      <c r="A361" t="s">
        <v>752</v>
      </c>
      <c r="B361" t="s">
        <v>392</v>
      </c>
      <c r="C361" t="s">
        <v>393</v>
      </c>
      <c r="D361" s="6">
        <v>46183</v>
      </c>
      <c r="E361" t="s">
        <v>58</v>
      </c>
      <c r="F361" t="s">
        <v>65</v>
      </c>
      <c r="G361" t="s">
        <v>60</v>
      </c>
      <c r="H361" t="s">
        <v>54</v>
      </c>
      <c r="I361">
        <v>2</v>
      </c>
      <c r="J361" s="11">
        <v>1211484</v>
      </c>
      <c r="K361" s="11">
        <v>50000</v>
      </c>
      <c r="L361" t="s">
        <v>245</v>
      </c>
      <c r="M361" t="s">
        <v>67</v>
      </c>
      <c r="N361" t="s">
        <v>61</v>
      </c>
    </row>
    <row r="362" spans="1:15" x14ac:dyDescent="0.25">
      <c r="A362" t="s">
        <v>753</v>
      </c>
      <c r="B362" t="s">
        <v>292</v>
      </c>
      <c r="C362" t="s">
        <v>152</v>
      </c>
      <c r="D362" s="6">
        <v>46181</v>
      </c>
      <c r="E362" t="s">
        <v>31</v>
      </c>
      <c r="F362" t="s">
        <v>59</v>
      </c>
      <c r="G362" t="s">
        <v>75</v>
      </c>
      <c r="H362" t="s">
        <v>66</v>
      </c>
      <c r="I362">
        <v>5</v>
      </c>
      <c r="J362" s="11">
        <v>2400327</v>
      </c>
      <c r="K362" s="11">
        <v>0</v>
      </c>
      <c r="L362" t="s">
        <v>35</v>
      </c>
      <c r="M362" t="s">
        <v>36</v>
      </c>
      <c r="N362" t="s">
        <v>61</v>
      </c>
      <c r="O362" t="s">
        <v>1377</v>
      </c>
    </row>
    <row r="363" spans="1:15" hidden="1" x14ac:dyDescent="0.25">
      <c r="A363" t="s">
        <v>754</v>
      </c>
      <c r="B363" t="s">
        <v>480</v>
      </c>
      <c r="C363" t="s">
        <v>101</v>
      </c>
      <c r="D363" s="6">
        <v>46190</v>
      </c>
      <c r="E363" t="s">
        <v>41</v>
      </c>
      <c r="F363" t="s">
        <v>32</v>
      </c>
      <c r="G363" t="s">
        <v>75</v>
      </c>
      <c r="H363" t="s">
        <v>54</v>
      </c>
      <c r="I363">
        <v>2</v>
      </c>
      <c r="J363" s="11">
        <v>1050108</v>
      </c>
      <c r="K363" s="11">
        <v>25000</v>
      </c>
      <c r="L363" t="s">
        <v>35</v>
      </c>
      <c r="M363" t="s">
        <v>67</v>
      </c>
      <c r="N363" t="s">
        <v>37</v>
      </c>
    </row>
    <row r="364" spans="1:15" hidden="1" x14ac:dyDescent="0.25">
      <c r="A364" t="s">
        <v>756</v>
      </c>
      <c r="B364" t="s">
        <v>379</v>
      </c>
      <c r="C364" t="s">
        <v>158</v>
      </c>
      <c r="D364" s="6">
        <v>46059</v>
      </c>
      <c r="E364" t="s">
        <v>53</v>
      </c>
      <c r="F364" t="s">
        <v>65</v>
      </c>
      <c r="G364" t="s">
        <v>81</v>
      </c>
      <c r="H364" t="s">
        <v>34</v>
      </c>
      <c r="I364">
        <v>7</v>
      </c>
      <c r="J364" s="11">
        <v>217059</v>
      </c>
      <c r="K364" s="11">
        <v>50000</v>
      </c>
      <c r="L364" t="s">
        <v>35</v>
      </c>
      <c r="M364" t="s">
        <v>36</v>
      </c>
      <c r="N364" t="s">
        <v>37</v>
      </c>
    </row>
    <row r="365" spans="1:15" x14ac:dyDescent="0.25">
      <c r="A365" t="s">
        <v>757</v>
      </c>
      <c r="B365" t="s">
        <v>143</v>
      </c>
      <c r="C365" t="s">
        <v>144</v>
      </c>
      <c r="D365" s="6">
        <v>46069</v>
      </c>
      <c r="E365" t="s">
        <v>58</v>
      </c>
      <c r="F365" t="s">
        <v>59</v>
      </c>
      <c r="G365" t="s">
        <v>81</v>
      </c>
      <c r="H365" t="s">
        <v>47</v>
      </c>
      <c r="I365">
        <v>4</v>
      </c>
      <c r="J365" s="11">
        <v>509135</v>
      </c>
      <c r="K365" s="11">
        <v>0</v>
      </c>
      <c r="L365" t="s">
        <v>48</v>
      </c>
      <c r="M365" t="s">
        <v>36</v>
      </c>
      <c r="N365" t="s">
        <v>61</v>
      </c>
      <c r="O365" t="s">
        <v>1377</v>
      </c>
    </row>
    <row r="366" spans="1:15" x14ac:dyDescent="0.25">
      <c r="A366" t="s">
        <v>758</v>
      </c>
      <c r="B366" t="s">
        <v>759</v>
      </c>
      <c r="C366" t="s">
        <v>204</v>
      </c>
      <c r="D366" s="6">
        <v>46183</v>
      </c>
      <c r="E366" t="s">
        <v>41</v>
      </c>
      <c r="F366" t="s">
        <v>42</v>
      </c>
      <c r="G366" t="s">
        <v>85</v>
      </c>
      <c r="H366" t="s">
        <v>66</v>
      </c>
      <c r="I366">
        <v>6</v>
      </c>
      <c r="J366" s="11">
        <v>440078</v>
      </c>
      <c r="K366" s="11">
        <v>15000</v>
      </c>
      <c r="L366" t="s">
        <v>35</v>
      </c>
      <c r="M366" t="s">
        <v>71</v>
      </c>
      <c r="N366" t="s">
        <v>61</v>
      </c>
    </row>
    <row r="367" spans="1:15" x14ac:dyDescent="0.25">
      <c r="A367" t="s">
        <v>760</v>
      </c>
      <c r="B367" t="s">
        <v>761</v>
      </c>
      <c r="C367" t="s">
        <v>271</v>
      </c>
      <c r="D367" s="6">
        <v>46068</v>
      </c>
      <c r="E367" t="s">
        <v>80</v>
      </c>
      <c r="F367" t="s">
        <v>59</v>
      </c>
      <c r="G367" t="s">
        <v>46</v>
      </c>
      <c r="H367" t="s">
        <v>76</v>
      </c>
      <c r="I367">
        <v>7</v>
      </c>
      <c r="J367" s="11">
        <v>2499402</v>
      </c>
      <c r="K367" s="11">
        <v>50000</v>
      </c>
      <c r="L367" t="s">
        <v>35</v>
      </c>
      <c r="M367" t="s">
        <v>49</v>
      </c>
      <c r="N367" t="s">
        <v>61</v>
      </c>
    </row>
    <row r="368" spans="1:15" x14ac:dyDescent="0.25">
      <c r="A368" t="s">
        <v>763</v>
      </c>
      <c r="B368" t="s">
        <v>764</v>
      </c>
      <c r="C368" t="s">
        <v>370</v>
      </c>
      <c r="D368" s="6">
        <v>46156</v>
      </c>
      <c r="E368" t="s">
        <v>53</v>
      </c>
      <c r="F368" t="s">
        <v>42</v>
      </c>
      <c r="G368" t="s">
        <v>85</v>
      </c>
      <c r="H368" t="s">
        <v>66</v>
      </c>
      <c r="I368">
        <v>2</v>
      </c>
      <c r="J368" s="11">
        <v>1187454</v>
      </c>
      <c r="K368" s="11">
        <v>0</v>
      </c>
      <c r="L368" t="s">
        <v>35</v>
      </c>
      <c r="M368" t="s">
        <v>36</v>
      </c>
      <c r="N368" t="s">
        <v>61</v>
      </c>
      <c r="O368" t="s">
        <v>1377</v>
      </c>
    </row>
    <row r="369" spans="1:15" x14ac:dyDescent="0.25">
      <c r="A369" t="s">
        <v>765</v>
      </c>
      <c r="B369" t="s">
        <v>766</v>
      </c>
      <c r="C369" t="s">
        <v>152</v>
      </c>
      <c r="D369" s="6">
        <v>46078</v>
      </c>
      <c r="E369" t="s">
        <v>31</v>
      </c>
      <c r="F369" t="s">
        <v>32</v>
      </c>
      <c r="G369" t="s">
        <v>33</v>
      </c>
      <c r="H369" t="s">
        <v>47</v>
      </c>
      <c r="I369">
        <v>2</v>
      </c>
      <c r="J369" s="11">
        <v>243721</v>
      </c>
      <c r="K369" s="11">
        <v>25000</v>
      </c>
      <c r="L369" t="s">
        <v>35</v>
      </c>
      <c r="M369" t="s">
        <v>36</v>
      </c>
      <c r="N369" t="s">
        <v>61</v>
      </c>
    </row>
    <row r="370" spans="1:15" x14ac:dyDescent="0.25">
      <c r="A370" t="s">
        <v>768</v>
      </c>
      <c r="B370" t="s">
        <v>651</v>
      </c>
      <c r="C370" t="s">
        <v>70</v>
      </c>
      <c r="D370" s="6">
        <v>46112</v>
      </c>
      <c r="E370" t="s">
        <v>53</v>
      </c>
      <c r="F370" t="s">
        <v>59</v>
      </c>
      <c r="G370" t="s">
        <v>85</v>
      </c>
      <c r="H370" t="s">
        <v>66</v>
      </c>
      <c r="I370">
        <v>4</v>
      </c>
      <c r="J370" s="11">
        <v>2433146</v>
      </c>
      <c r="K370" s="11">
        <v>25000</v>
      </c>
      <c r="L370" t="s">
        <v>35</v>
      </c>
      <c r="M370" t="s">
        <v>36</v>
      </c>
      <c r="N370" t="s">
        <v>61</v>
      </c>
    </row>
    <row r="371" spans="1:15" hidden="1" x14ac:dyDescent="0.25">
      <c r="A371" t="s">
        <v>769</v>
      </c>
      <c r="B371" t="s">
        <v>770</v>
      </c>
      <c r="C371" t="s">
        <v>101</v>
      </c>
      <c r="D371" s="6">
        <v>46198</v>
      </c>
      <c r="E371" t="s">
        <v>80</v>
      </c>
      <c r="F371" t="s">
        <v>42</v>
      </c>
      <c r="G371" t="s">
        <v>85</v>
      </c>
      <c r="H371" t="s">
        <v>47</v>
      </c>
      <c r="I371">
        <v>1</v>
      </c>
      <c r="J371" s="11">
        <v>1298946</v>
      </c>
      <c r="K371" s="11">
        <v>35000</v>
      </c>
      <c r="L371" t="s">
        <v>35</v>
      </c>
      <c r="M371" t="s">
        <v>36</v>
      </c>
      <c r="N371" t="s">
        <v>37</v>
      </c>
    </row>
    <row r="372" spans="1:15" hidden="1" x14ac:dyDescent="0.25">
      <c r="A372" t="s">
        <v>771</v>
      </c>
      <c r="B372" t="s">
        <v>430</v>
      </c>
      <c r="C372" t="s">
        <v>45</v>
      </c>
      <c r="D372" s="6">
        <v>46137</v>
      </c>
      <c r="E372" t="s">
        <v>58</v>
      </c>
      <c r="F372" t="s">
        <v>59</v>
      </c>
      <c r="G372" t="s">
        <v>60</v>
      </c>
      <c r="H372" t="s">
        <v>34</v>
      </c>
      <c r="I372">
        <v>6</v>
      </c>
      <c r="J372" s="11">
        <v>1897283</v>
      </c>
      <c r="K372" s="11">
        <v>50000</v>
      </c>
      <c r="L372" t="s">
        <v>35</v>
      </c>
      <c r="M372" t="s">
        <v>67</v>
      </c>
      <c r="N372" t="s">
        <v>37</v>
      </c>
    </row>
    <row r="373" spans="1:15" hidden="1" x14ac:dyDescent="0.25">
      <c r="A373" t="s">
        <v>772</v>
      </c>
      <c r="B373" t="s">
        <v>149</v>
      </c>
      <c r="C373" t="s">
        <v>114</v>
      </c>
      <c r="D373" s="6">
        <v>46332</v>
      </c>
      <c r="E373" t="s">
        <v>41</v>
      </c>
      <c r="F373" t="s">
        <v>32</v>
      </c>
      <c r="G373" t="s">
        <v>46</v>
      </c>
      <c r="H373" t="s">
        <v>76</v>
      </c>
      <c r="I373">
        <v>2</v>
      </c>
      <c r="J373" s="11">
        <v>389552</v>
      </c>
      <c r="K373" s="11">
        <v>35000</v>
      </c>
      <c r="L373" t="s">
        <v>48</v>
      </c>
      <c r="M373" t="s">
        <v>36</v>
      </c>
      <c r="N373" t="s">
        <v>37</v>
      </c>
    </row>
    <row r="374" spans="1:15" hidden="1" x14ac:dyDescent="0.25">
      <c r="A374" t="s">
        <v>774</v>
      </c>
      <c r="B374" t="s">
        <v>344</v>
      </c>
      <c r="C374" t="s">
        <v>119</v>
      </c>
      <c r="D374" s="6">
        <v>46030</v>
      </c>
      <c r="E374" t="s">
        <v>80</v>
      </c>
      <c r="F374" t="s">
        <v>42</v>
      </c>
      <c r="G374" t="s">
        <v>81</v>
      </c>
      <c r="H374" t="s">
        <v>34</v>
      </c>
      <c r="I374">
        <v>7</v>
      </c>
      <c r="J374" s="11">
        <v>600876</v>
      </c>
      <c r="K374" s="11">
        <v>15000</v>
      </c>
      <c r="L374" t="s">
        <v>35</v>
      </c>
      <c r="M374" t="s">
        <v>71</v>
      </c>
      <c r="N374" t="s">
        <v>37</v>
      </c>
    </row>
    <row r="375" spans="1:15" hidden="1" x14ac:dyDescent="0.25">
      <c r="A375" t="s">
        <v>775</v>
      </c>
      <c r="B375" t="s">
        <v>149</v>
      </c>
      <c r="C375" t="s">
        <v>114</v>
      </c>
      <c r="D375" s="6">
        <v>46060</v>
      </c>
      <c r="E375" t="s">
        <v>80</v>
      </c>
      <c r="F375" t="s">
        <v>42</v>
      </c>
      <c r="G375" t="s">
        <v>60</v>
      </c>
      <c r="H375" t="s">
        <v>76</v>
      </c>
      <c r="I375">
        <v>1</v>
      </c>
      <c r="J375" s="11">
        <v>1438911</v>
      </c>
      <c r="K375" s="11">
        <v>0</v>
      </c>
      <c r="L375" t="s">
        <v>35</v>
      </c>
      <c r="M375" t="s">
        <v>67</v>
      </c>
      <c r="N375" t="s">
        <v>37</v>
      </c>
      <c r="O375" t="s">
        <v>1377</v>
      </c>
    </row>
    <row r="376" spans="1:15" x14ac:dyDescent="0.25">
      <c r="A376" t="s">
        <v>776</v>
      </c>
      <c r="B376" t="s">
        <v>766</v>
      </c>
      <c r="C376" t="s">
        <v>152</v>
      </c>
      <c r="D376" s="6">
        <v>46082</v>
      </c>
      <c r="E376" t="s">
        <v>31</v>
      </c>
      <c r="F376" t="s">
        <v>65</v>
      </c>
      <c r="G376" t="s">
        <v>46</v>
      </c>
      <c r="H376" t="s">
        <v>66</v>
      </c>
      <c r="I376">
        <v>4</v>
      </c>
      <c r="J376" s="11">
        <v>2475691</v>
      </c>
      <c r="K376" s="11">
        <v>0</v>
      </c>
      <c r="L376" t="s">
        <v>35</v>
      </c>
      <c r="M376" t="s">
        <v>67</v>
      </c>
      <c r="N376" t="s">
        <v>61</v>
      </c>
      <c r="O376" t="s">
        <v>1377</v>
      </c>
    </row>
    <row r="377" spans="1:15" hidden="1" x14ac:dyDescent="0.25">
      <c r="A377" t="s">
        <v>777</v>
      </c>
      <c r="B377" t="s">
        <v>665</v>
      </c>
      <c r="C377" t="s">
        <v>442</v>
      </c>
      <c r="D377" s="6">
        <v>46188</v>
      </c>
      <c r="E377" t="s">
        <v>41</v>
      </c>
      <c r="F377" t="s">
        <v>59</v>
      </c>
      <c r="G377" t="s">
        <v>81</v>
      </c>
      <c r="H377" t="s">
        <v>66</v>
      </c>
      <c r="I377">
        <v>3</v>
      </c>
      <c r="J377" s="11">
        <v>1888948</v>
      </c>
      <c r="K377" s="11">
        <v>35000</v>
      </c>
      <c r="L377" t="s">
        <v>48</v>
      </c>
      <c r="M377" t="s">
        <v>67</v>
      </c>
      <c r="N377" t="s">
        <v>37</v>
      </c>
    </row>
    <row r="378" spans="1:15" x14ac:dyDescent="0.25">
      <c r="A378" t="s">
        <v>778</v>
      </c>
      <c r="B378" t="s">
        <v>146</v>
      </c>
      <c r="C378" t="s">
        <v>40</v>
      </c>
      <c r="D378" s="6">
        <v>46054</v>
      </c>
      <c r="E378" t="s">
        <v>53</v>
      </c>
      <c r="F378" t="s">
        <v>65</v>
      </c>
      <c r="G378" t="s">
        <v>33</v>
      </c>
      <c r="H378" t="s">
        <v>54</v>
      </c>
      <c r="I378">
        <v>5</v>
      </c>
      <c r="J378" s="11">
        <v>2019118</v>
      </c>
      <c r="K378" s="11">
        <v>15000</v>
      </c>
      <c r="L378" t="s">
        <v>35</v>
      </c>
      <c r="M378" t="s">
        <v>36</v>
      </c>
      <c r="N378" t="s">
        <v>61</v>
      </c>
    </row>
    <row r="379" spans="1:15" x14ac:dyDescent="0.25">
      <c r="A379" t="s">
        <v>779</v>
      </c>
      <c r="B379" t="s">
        <v>626</v>
      </c>
      <c r="C379" t="s">
        <v>204</v>
      </c>
      <c r="D379" s="6">
        <v>46141</v>
      </c>
      <c r="E379" t="s">
        <v>53</v>
      </c>
      <c r="F379" t="s">
        <v>65</v>
      </c>
      <c r="G379" t="s">
        <v>33</v>
      </c>
      <c r="H379" t="s">
        <v>54</v>
      </c>
      <c r="I379">
        <v>7</v>
      </c>
      <c r="J379" s="11">
        <v>1312716</v>
      </c>
      <c r="K379" s="11">
        <v>15000</v>
      </c>
      <c r="L379" t="s">
        <v>89</v>
      </c>
      <c r="M379" t="s">
        <v>71</v>
      </c>
      <c r="N379" t="s">
        <v>61</v>
      </c>
    </row>
    <row r="380" spans="1:15" x14ac:dyDescent="0.25">
      <c r="A380" t="s">
        <v>780</v>
      </c>
      <c r="B380" t="s">
        <v>172</v>
      </c>
      <c r="C380" t="s">
        <v>173</v>
      </c>
      <c r="D380" s="6">
        <v>46047</v>
      </c>
      <c r="E380" t="s">
        <v>58</v>
      </c>
      <c r="F380" t="s">
        <v>32</v>
      </c>
      <c r="G380" t="s">
        <v>60</v>
      </c>
      <c r="H380" t="s">
        <v>76</v>
      </c>
      <c r="I380">
        <v>3</v>
      </c>
      <c r="J380" s="11">
        <v>1860966</v>
      </c>
      <c r="K380" s="11">
        <v>25000</v>
      </c>
      <c r="L380" t="s">
        <v>35</v>
      </c>
      <c r="M380" t="s">
        <v>67</v>
      </c>
      <c r="N380" t="s">
        <v>61</v>
      </c>
    </row>
    <row r="381" spans="1:15" x14ac:dyDescent="0.25">
      <c r="A381" t="s">
        <v>781</v>
      </c>
      <c r="B381" t="s">
        <v>782</v>
      </c>
      <c r="C381" t="s">
        <v>165</v>
      </c>
      <c r="D381" s="6">
        <v>46099</v>
      </c>
      <c r="E381" t="s">
        <v>80</v>
      </c>
      <c r="F381" t="s">
        <v>65</v>
      </c>
      <c r="G381" t="s">
        <v>81</v>
      </c>
      <c r="H381" t="s">
        <v>34</v>
      </c>
      <c r="I381">
        <v>7</v>
      </c>
      <c r="J381" s="11">
        <v>2026654</v>
      </c>
      <c r="K381" s="11">
        <v>35000</v>
      </c>
      <c r="L381" t="s">
        <v>35</v>
      </c>
      <c r="M381" t="s">
        <v>71</v>
      </c>
      <c r="N381" t="s">
        <v>61</v>
      </c>
    </row>
    <row r="382" spans="1:15" x14ac:dyDescent="0.25">
      <c r="A382" t="s">
        <v>783</v>
      </c>
      <c r="B382" t="s">
        <v>784</v>
      </c>
      <c r="C382" t="s">
        <v>136</v>
      </c>
      <c r="D382" s="6">
        <v>46025</v>
      </c>
      <c r="E382" t="s">
        <v>58</v>
      </c>
      <c r="F382" t="s">
        <v>42</v>
      </c>
      <c r="G382" t="s">
        <v>75</v>
      </c>
      <c r="H382" t="s">
        <v>66</v>
      </c>
      <c r="I382">
        <v>3</v>
      </c>
      <c r="J382" s="11">
        <v>701894</v>
      </c>
      <c r="K382" s="11">
        <v>0</v>
      </c>
      <c r="L382" t="s">
        <v>48</v>
      </c>
      <c r="M382" t="s">
        <v>36</v>
      </c>
      <c r="N382" t="s">
        <v>61</v>
      </c>
      <c r="O382" t="s">
        <v>1377</v>
      </c>
    </row>
    <row r="383" spans="1:15" hidden="1" x14ac:dyDescent="0.25">
      <c r="A383" t="s">
        <v>785</v>
      </c>
      <c r="B383" t="s">
        <v>265</v>
      </c>
      <c r="C383" t="s">
        <v>266</v>
      </c>
      <c r="D383" s="6">
        <v>46199</v>
      </c>
      <c r="E383" t="s">
        <v>80</v>
      </c>
      <c r="F383" t="s">
        <v>65</v>
      </c>
      <c r="G383" t="s">
        <v>33</v>
      </c>
      <c r="H383" t="s">
        <v>66</v>
      </c>
      <c r="I383">
        <v>7</v>
      </c>
      <c r="J383" s="11">
        <v>340163</v>
      </c>
      <c r="K383" s="11">
        <v>25000</v>
      </c>
      <c r="L383" t="s">
        <v>35</v>
      </c>
      <c r="M383" t="s">
        <v>67</v>
      </c>
      <c r="N383" t="s">
        <v>37</v>
      </c>
    </row>
    <row r="384" spans="1:15" x14ac:dyDescent="0.25">
      <c r="A384" t="s">
        <v>786</v>
      </c>
      <c r="B384" t="s">
        <v>151</v>
      </c>
      <c r="C384" t="s">
        <v>152</v>
      </c>
      <c r="D384" s="6">
        <v>46201</v>
      </c>
      <c r="E384" t="s">
        <v>31</v>
      </c>
      <c r="F384" t="s">
        <v>59</v>
      </c>
      <c r="G384" t="s">
        <v>75</v>
      </c>
      <c r="H384" t="s">
        <v>47</v>
      </c>
      <c r="I384">
        <v>5</v>
      </c>
      <c r="J384" s="11">
        <v>834451</v>
      </c>
      <c r="K384" s="11">
        <v>15000</v>
      </c>
      <c r="L384" t="s">
        <v>35</v>
      </c>
      <c r="M384" t="s">
        <v>67</v>
      </c>
      <c r="N384" t="s">
        <v>61</v>
      </c>
    </row>
    <row r="385" spans="1:15" hidden="1" x14ac:dyDescent="0.25">
      <c r="A385" t="s">
        <v>787</v>
      </c>
      <c r="B385" t="s">
        <v>262</v>
      </c>
      <c r="C385" t="s">
        <v>263</v>
      </c>
      <c r="D385" s="6">
        <v>46158</v>
      </c>
      <c r="E385" t="s">
        <v>80</v>
      </c>
      <c r="F385" t="s">
        <v>59</v>
      </c>
      <c r="G385" t="s">
        <v>85</v>
      </c>
      <c r="H385" t="s">
        <v>54</v>
      </c>
      <c r="I385">
        <v>4</v>
      </c>
      <c r="J385" s="11">
        <v>1128828</v>
      </c>
      <c r="K385" s="11">
        <v>50000</v>
      </c>
      <c r="L385" t="s">
        <v>35</v>
      </c>
      <c r="M385" t="s">
        <v>49</v>
      </c>
      <c r="N385" t="s">
        <v>37</v>
      </c>
    </row>
    <row r="386" spans="1:15" x14ac:dyDescent="0.25">
      <c r="A386" t="s">
        <v>788</v>
      </c>
      <c r="B386" t="s">
        <v>789</v>
      </c>
      <c r="C386" t="s">
        <v>165</v>
      </c>
      <c r="D386" s="6">
        <v>46098</v>
      </c>
      <c r="E386" t="s">
        <v>31</v>
      </c>
      <c r="F386" t="s">
        <v>65</v>
      </c>
      <c r="G386" t="s">
        <v>81</v>
      </c>
      <c r="H386" t="s">
        <v>47</v>
      </c>
      <c r="I386">
        <v>5</v>
      </c>
      <c r="J386" s="11">
        <v>467264</v>
      </c>
      <c r="K386" s="11">
        <v>25000</v>
      </c>
      <c r="L386" t="s">
        <v>48</v>
      </c>
      <c r="M386" t="s">
        <v>71</v>
      </c>
      <c r="N386" t="s">
        <v>61</v>
      </c>
    </row>
    <row r="387" spans="1:15" hidden="1" x14ac:dyDescent="0.25">
      <c r="A387" t="s">
        <v>790</v>
      </c>
      <c r="B387" t="s">
        <v>791</v>
      </c>
      <c r="C387" t="s">
        <v>382</v>
      </c>
      <c r="D387" s="6">
        <v>46026</v>
      </c>
      <c r="E387" t="s">
        <v>80</v>
      </c>
      <c r="F387" t="s">
        <v>42</v>
      </c>
      <c r="G387" t="s">
        <v>46</v>
      </c>
      <c r="H387" t="s">
        <v>76</v>
      </c>
      <c r="I387">
        <v>7</v>
      </c>
      <c r="J387" s="11">
        <v>1026537</v>
      </c>
      <c r="K387" s="11">
        <v>35000</v>
      </c>
      <c r="L387" t="s">
        <v>35</v>
      </c>
      <c r="M387" t="s">
        <v>36</v>
      </c>
      <c r="N387" t="s">
        <v>37</v>
      </c>
    </row>
    <row r="388" spans="1:15" x14ac:dyDescent="0.25">
      <c r="A388" t="s">
        <v>792</v>
      </c>
      <c r="B388" t="s">
        <v>210</v>
      </c>
      <c r="C388" t="s">
        <v>45</v>
      </c>
      <c r="D388" s="6">
        <v>46102</v>
      </c>
      <c r="E388" t="s">
        <v>31</v>
      </c>
      <c r="F388" t="s">
        <v>32</v>
      </c>
      <c r="G388" t="s">
        <v>60</v>
      </c>
      <c r="H388" t="s">
        <v>47</v>
      </c>
      <c r="I388">
        <v>7</v>
      </c>
      <c r="J388" s="11">
        <v>2024306</v>
      </c>
      <c r="K388" s="11">
        <v>15000</v>
      </c>
      <c r="L388" t="s">
        <v>35</v>
      </c>
      <c r="M388" t="s">
        <v>71</v>
      </c>
      <c r="N388" t="s">
        <v>61</v>
      </c>
    </row>
    <row r="389" spans="1:15" x14ac:dyDescent="0.25">
      <c r="A389" t="s">
        <v>794</v>
      </c>
      <c r="B389" t="s">
        <v>795</v>
      </c>
      <c r="C389" t="s">
        <v>334</v>
      </c>
      <c r="D389" s="6">
        <v>46125</v>
      </c>
      <c r="E389" t="s">
        <v>53</v>
      </c>
      <c r="F389" t="s">
        <v>65</v>
      </c>
      <c r="G389" t="s">
        <v>85</v>
      </c>
      <c r="H389" t="s">
        <v>47</v>
      </c>
      <c r="J389" s="11">
        <v>908334</v>
      </c>
      <c r="K389" s="11">
        <v>0</v>
      </c>
      <c r="L389" t="s">
        <v>35</v>
      </c>
      <c r="M389" t="s">
        <v>36</v>
      </c>
      <c r="N389" t="s">
        <v>61</v>
      </c>
      <c r="O389" t="s">
        <v>1378</v>
      </c>
    </row>
    <row r="390" spans="1:15" x14ac:dyDescent="0.25">
      <c r="A390" t="s">
        <v>796</v>
      </c>
      <c r="B390" t="s">
        <v>167</v>
      </c>
      <c r="C390" t="s">
        <v>84</v>
      </c>
      <c r="D390" s="6">
        <v>46051</v>
      </c>
      <c r="E390" t="s">
        <v>53</v>
      </c>
      <c r="F390" t="s">
        <v>59</v>
      </c>
      <c r="G390" t="s">
        <v>33</v>
      </c>
      <c r="H390" t="s">
        <v>66</v>
      </c>
      <c r="I390">
        <v>4</v>
      </c>
      <c r="J390" s="11">
        <v>1128992</v>
      </c>
      <c r="K390" s="11">
        <v>0</v>
      </c>
      <c r="L390" t="s">
        <v>35</v>
      </c>
      <c r="M390" t="s">
        <v>67</v>
      </c>
      <c r="N390" t="s">
        <v>61</v>
      </c>
      <c r="O390" t="s">
        <v>1377</v>
      </c>
    </row>
    <row r="391" spans="1:15" hidden="1" x14ac:dyDescent="0.25">
      <c r="A391" t="s">
        <v>797</v>
      </c>
      <c r="B391" t="s">
        <v>29</v>
      </c>
      <c r="C391" t="s">
        <v>30</v>
      </c>
      <c r="D391" s="6">
        <v>46163</v>
      </c>
      <c r="E391" t="s">
        <v>41</v>
      </c>
      <c r="F391" t="s">
        <v>32</v>
      </c>
      <c r="G391" t="s">
        <v>81</v>
      </c>
      <c r="H391" t="s">
        <v>47</v>
      </c>
      <c r="I391">
        <v>4</v>
      </c>
      <c r="J391" s="11">
        <v>472601</v>
      </c>
      <c r="K391" s="11">
        <v>25000</v>
      </c>
      <c r="L391" t="s">
        <v>35</v>
      </c>
      <c r="M391" t="s">
        <v>36</v>
      </c>
      <c r="N391" t="s">
        <v>37</v>
      </c>
    </row>
    <row r="392" spans="1:15" hidden="1" x14ac:dyDescent="0.25">
      <c r="A392" t="s">
        <v>798</v>
      </c>
      <c r="B392" t="s">
        <v>517</v>
      </c>
      <c r="C392" t="s">
        <v>470</v>
      </c>
      <c r="D392" s="6">
        <v>46048</v>
      </c>
      <c r="E392" t="s">
        <v>31</v>
      </c>
      <c r="F392" t="s">
        <v>59</v>
      </c>
      <c r="G392" t="s">
        <v>85</v>
      </c>
      <c r="H392" t="s">
        <v>76</v>
      </c>
      <c r="I392">
        <v>6</v>
      </c>
      <c r="J392" s="11">
        <v>326084</v>
      </c>
      <c r="K392" s="11">
        <v>35000</v>
      </c>
      <c r="L392" t="s">
        <v>245</v>
      </c>
      <c r="M392" t="s">
        <v>67</v>
      </c>
      <c r="N392" t="s">
        <v>37</v>
      </c>
    </row>
    <row r="393" spans="1:15" x14ac:dyDescent="0.25">
      <c r="A393" t="s">
        <v>799</v>
      </c>
      <c r="B393" t="s">
        <v>595</v>
      </c>
      <c r="C393" t="s">
        <v>107</v>
      </c>
      <c r="D393" s="6">
        <v>46178</v>
      </c>
      <c r="E393" t="s">
        <v>31</v>
      </c>
      <c r="F393" t="s">
        <v>65</v>
      </c>
      <c r="G393" t="s">
        <v>85</v>
      </c>
      <c r="H393" t="s">
        <v>54</v>
      </c>
      <c r="I393">
        <v>4</v>
      </c>
      <c r="J393" s="11">
        <v>2190376</v>
      </c>
      <c r="K393" s="11">
        <v>50000</v>
      </c>
      <c r="L393" t="s">
        <v>35</v>
      </c>
      <c r="M393" t="s">
        <v>67</v>
      </c>
      <c r="N393" t="s">
        <v>61</v>
      </c>
    </row>
    <row r="394" spans="1:15" x14ac:dyDescent="0.25">
      <c r="A394" t="s">
        <v>800</v>
      </c>
      <c r="B394" t="s">
        <v>103</v>
      </c>
      <c r="C394" t="s">
        <v>104</v>
      </c>
      <c r="D394" s="6">
        <v>46032</v>
      </c>
      <c r="E394" t="s">
        <v>53</v>
      </c>
      <c r="F394" t="s">
        <v>59</v>
      </c>
      <c r="G394" t="s">
        <v>60</v>
      </c>
      <c r="H394" t="s">
        <v>47</v>
      </c>
      <c r="I394">
        <v>1</v>
      </c>
      <c r="J394" s="11">
        <v>1236432</v>
      </c>
      <c r="K394" s="11">
        <v>15000</v>
      </c>
      <c r="L394" t="s">
        <v>35</v>
      </c>
      <c r="M394" t="s">
        <v>67</v>
      </c>
      <c r="N394" t="s">
        <v>61</v>
      </c>
    </row>
    <row r="395" spans="1:15" x14ac:dyDescent="0.25">
      <c r="A395" t="s">
        <v>801</v>
      </c>
      <c r="B395" t="s">
        <v>528</v>
      </c>
      <c r="C395" t="s">
        <v>170</v>
      </c>
      <c r="D395" s="6">
        <v>46200</v>
      </c>
      <c r="E395" t="s">
        <v>80</v>
      </c>
      <c r="F395" t="s">
        <v>32</v>
      </c>
      <c r="G395" t="s">
        <v>75</v>
      </c>
      <c r="H395" t="s">
        <v>54</v>
      </c>
      <c r="I395">
        <v>2</v>
      </c>
      <c r="J395" s="11">
        <v>1245193</v>
      </c>
      <c r="K395" s="11">
        <v>35000</v>
      </c>
      <c r="L395" t="s">
        <v>35</v>
      </c>
      <c r="M395" t="s">
        <v>67</v>
      </c>
      <c r="N395" t="s">
        <v>61</v>
      </c>
    </row>
    <row r="396" spans="1:15" hidden="1" x14ac:dyDescent="0.25">
      <c r="A396" t="s">
        <v>802</v>
      </c>
      <c r="B396" t="s">
        <v>175</v>
      </c>
      <c r="C396" t="s">
        <v>176</v>
      </c>
      <c r="D396" s="6">
        <v>46151</v>
      </c>
      <c r="E396" t="s">
        <v>80</v>
      </c>
      <c r="F396" t="s">
        <v>65</v>
      </c>
      <c r="G396" t="s">
        <v>85</v>
      </c>
      <c r="H396" t="s">
        <v>34</v>
      </c>
      <c r="I396">
        <v>7</v>
      </c>
      <c r="J396" s="11"/>
      <c r="K396" s="11">
        <v>25000</v>
      </c>
      <c r="L396" t="s">
        <v>245</v>
      </c>
      <c r="M396" t="s">
        <v>67</v>
      </c>
      <c r="N396" t="s">
        <v>37</v>
      </c>
      <c r="O396" t="s">
        <v>1374</v>
      </c>
    </row>
    <row r="397" spans="1:15" x14ac:dyDescent="0.25">
      <c r="A397" t="s">
        <v>803</v>
      </c>
      <c r="B397" t="s">
        <v>766</v>
      </c>
      <c r="C397" t="s">
        <v>152</v>
      </c>
      <c r="D397" s="6">
        <v>46139</v>
      </c>
      <c r="E397" t="s">
        <v>31</v>
      </c>
      <c r="F397" t="s">
        <v>32</v>
      </c>
      <c r="G397" t="s">
        <v>81</v>
      </c>
      <c r="H397" t="s">
        <v>34</v>
      </c>
      <c r="I397">
        <v>6</v>
      </c>
      <c r="J397" s="11">
        <v>714893</v>
      </c>
      <c r="K397" s="11">
        <v>0</v>
      </c>
      <c r="L397" t="s">
        <v>35</v>
      </c>
      <c r="M397" t="s">
        <v>67</v>
      </c>
      <c r="N397" t="s">
        <v>61</v>
      </c>
      <c r="O397" t="s">
        <v>1377</v>
      </c>
    </row>
    <row r="398" spans="1:15" hidden="1" x14ac:dyDescent="0.25">
      <c r="A398" t="s">
        <v>804</v>
      </c>
      <c r="B398" t="s">
        <v>647</v>
      </c>
      <c r="C398" t="s">
        <v>377</v>
      </c>
      <c r="D398" s="6">
        <v>46113</v>
      </c>
      <c r="E398" t="s">
        <v>58</v>
      </c>
      <c r="F398" t="s">
        <v>65</v>
      </c>
      <c r="G398" t="s">
        <v>81</v>
      </c>
      <c r="H398" t="s">
        <v>76</v>
      </c>
      <c r="I398">
        <v>1</v>
      </c>
      <c r="J398" s="11">
        <v>2107387</v>
      </c>
      <c r="K398" s="11">
        <v>50000</v>
      </c>
      <c r="L398" t="s">
        <v>35</v>
      </c>
      <c r="M398" t="s">
        <v>67</v>
      </c>
      <c r="N398" t="s">
        <v>37</v>
      </c>
    </row>
    <row r="399" spans="1:15" hidden="1" x14ac:dyDescent="0.25">
      <c r="A399" t="s">
        <v>805</v>
      </c>
      <c r="B399" t="s">
        <v>187</v>
      </c>
      <c r="C399" t="s">
        <v>88</v>
      </c>
      <c r="D399" s="6">
        <v>46081</v>
      </c>
      <c r="E399" t="s">
        <v>58</v>
      </c>
      <c r="F399" t="s">
        <v>32</v>
      </c>
      <c r="G399" t="s">
        <v>75</v>
      </c>
      <c r="H399" t="s">
        <v>66</v>
      </c>
      <c r="I399">
        <v>2</v>
      </c>
      <c r="J399" s="11">
        <v>2323138</v>
      </c>
      <c r="K399" s="11">
        <v>50000</v>
      </c>
      <c r="L399" t="s">
        <v>35</v>
      </c>
      <c r="M399" t="s">
        <v>71</v>
      </c>
      <c r="N399" t="s">
        <v>37</v>
      </c>
    </row>
    <row r="400" spans="1:15" hidden="1" x14ac:dyDescent="0.25">
      <c r="A400" t="s">
        <v>806</v>
      </c>
      <c r="B400" t="s">
        <v>807</v>
      </c>
      <c r="C400" t="s">
        <v>219</v>
      </c>
      <c r="D400" s="6">
        <v>46112</v>
      </c>
      <c r="E400" t="s">
        <v>58</v>
      </c>
      <c r="F400" t="s">
        <v>32</v>
      </c>
      <c r="G400" t="s">
        <v>33</v>
      </c>
      <c r="H400" t="s">
        <v>66</v>
      </c>
      <c r="I400">
        <v>6</v>
      </c>
      <c r="J400" s="11">
        <v>2408894</v>
      </c>
      <c r="K400" s="11">
        <v>25000</v>
      </c>
      <c r="L400" t="s">
        <v>35</v>
      </c>
      <c r="M400" t="s">
        <v>36</v>
      </c>
      <c r="N400" t="s">
        <v>37</v>
      </c>
    </row>
    <row r="401" spans="1:15" x14ac:dyDescent="0.25">
      <c r="A401" t="s">
        <v>808</v>
      </c>
      <c r="B401" t="s">
        <v>507</v>
      </c>
      <c r="C401" t="s">
        <v>70</v>
      </c>
      <c r="D401" s="6">
        <v>46092</v>
      </c>
      <c r="E401" t="s">
        <v>31</v>
      </c>
      <c r="F401" t="s">
        <v>32</v>
      </c>
      <c r="G401" t="s">
        <v>60</v>
      </c>
      <c r="H401" t="s">
        <v>54</v>
      </c>
      <c r="I401">
        <v>2</v>
      </c>
      <c r="J401" s="11">
        <v>2298139</v>
      </c>
      <c r="K401" s="11">
        <v>0</v>
      </c>
      <c r="L401" t="s">
        <v>89</v>
      </c>
      <c r="M401" t="s">
        <v>71</v>
      </c>
      <c r="N401" t="s">
        <v>61</v>
      </c>
      <c r="O401" t="s">
        <v>1377</v>
      </c>
    </row>
    <row r="402" spans="1:15" hidden="1" x14ac:dyDescent="0.25">
      <c r="A402" t="s">
        <v>809</v>
      </c>
      <c r="B402" t="s">
        <v>243</v>
      </c>
      <c r="C402" t="s">
        <v>244</v>
      </c>
      <c r="D402" s="6">
        <v>46201</v>
      </c>
      <c r="E402" t="s">
        <v>41</v>
      </c>
      <c r="F402" t="s">
        <v>65</v>
      </c>
      <c r="G402" t="s">
        <v>33</v>
      </c>
      <c r="H402" t="s">
        <v>76</v>
      </c>
      <c r="I402">
        <v>2</v>
      </c>
      <c r="J402" s="11">
        <v>1926572</v>
      </c>
      <c r="K402" s="11">
        <v>25000</v>
      </c>
      <c r="L402" t="s">
        <v>35</v>
      </c>
      <c r="M402" t="s">
        <v>67</v>
      </c>
      <c r="N402" t="s">
        <v>37</v>
      </c>
    </row>
    <row r="403" spans="1:15" x14ac:dyDescent="0.25">
      <c r="A403" t="s">
        <v>810</v>
      </c>
      <c r="B403" t="s">
        <v>811</v>
      </c>
      <c r="C403" t="s">
        <v>470</v>
      </c>
      <c r="D403" s="6">
        <v>46157</v>
      </c>
      <c r="E403" t="s">
        <v>53</v>
      </c>
      <c r="F403" t="s">
        <v>59</v>
      </c>
      <c r="G403" t="s">
        <v>33</v>
      </c>
      <c r="H403" t="s">
        <v>66</v>
      </c>
      <c r="I403">
        <v>6</v>
      </c>
      <c r="J403" s="11">
        <v>853802</v>
      </c>
      <c r="K403" s="11">
        <v>25000</v>
      </c>
      <c r="L403" t="s">
        <v>35</v>
      </c>
      <c r="M403" t="s">
        <v>67</v>
      </c>
      <c r="N403" t="s">
        <v>61</v>
      </c>
    </row>
    <row r="404" spans="1:15" x14ac:dyDescent="0.25">
      <c r="A404" t="s">
        <v>812</v>
      </c>
      <c r="B404" t="s">
        <v>327</v>
      </c>
      <c r="C404" t="s">
        <v>328</v>
      </c>
      <c r="D404" s="6">
        <v>46171</v>
      </c>
      <c r="E404" t="s">
        <v>41</v>
      </c>
      <c r="F404" t="s">
        <v>32</v>
      </c>
      <c r="G404" t="s">
        <v>33</v>
      </c>
      <c r="H404" t="s">
        <v>54</v>
      </c>
      <c r="I404">
        <v>7</v>
      </c>
      <c r="J404" s="11">
        <v>2301364</v>
      </c>
      <c r="K404" s="11">
        <v>25000</v>
      </c>
      <c r="L404" t="s">
        <v>35</v>
      </c>
      <c r="M404" t="s">
        <v>36</v>
      </c>
      <c r="N404" t="s">
        <v>61</v>
      </c>
    </row>
    <row r="405" spans="1:15" hidden="1" x14ac:dyDescent="0.25">
      <c r="A405" t="s">
        <v>814</v>
      </c>
      <c r="B405" t="s">
        <v>231</v>
      </c>
      <c r="C405" t="s">
        <v>198</v>
      </c>
      <c r="D405" s="6">
        <v>46198</v>
      </c>
      <c r="E405" t="s">
        <v>53</v>
      </c>
      <c r="F405" t="s">
        <v>42</v>
      </c>
      <c r="G405" t="s">
        <v>33</v>
      </c>
      <c r="H405" t="s">
        <v>47</v>
      </c>
      <c r="I405">
        <v>6</v>
      </c>
      <c r="J405" s="11">
        <v>737112</v>
      </c>
      <c r="K405" s="11">
        <v>35000</v>
      </c>
      <c r="L405" t="s">
        <v>35</v>
      </c>
      <c r="M405" t="s">
        <v>49</v>
      </c>
      <c r="N405" t="s">
        <v>37</v>
      </c>
    </row>
    <row r="406" spans="1:15" x14ac:dyDescent="0.25">
      <c r="A406" t="s">
        <v>815</v>
      </c>
      <c r="B406" t="s">
        <v>816</v>
      </c>
      <c r="C406" t="s">
        <v>158</v>
      </c>
      <c r="D406" s="6">
        <v>46098</v>
      </c>
      <c r="E406" t="s">
        <v>58</v>
      </c>
      <c r="F406" t="s">
        <v>65</v>
      </c>
      <c r="G406" t="s">
        <v>60</v>
      </c>
      <c r="H406" t="s">
        <v>66</v>
      </c>
      <c r="I406">
        <v>1</v>
      </c>
      <c r="J406" s="11">
        <v>185399</v>
      </c>
      <c r="K406" s="11">
        <v>35000</v>
      </c>
      <c r="L406" t="s">
        <v>35</v>
      </c>
      <c r="M406" t="s">
        <v>71</v>
      </c>
      <c r="N406" t="s">
        <v>61</v>
      </c>
    </row>
    <row r="407" spans="1:15" x14ac:dyDescent="0.25">
      <c r="A407" t="s">
        <v>818</v>
      </c>
      <c r="B407" t="s">
        <v>450</v>
      </c>
      <c r="C407" t="s">
        <v>219</v>
      </c>
      <c r="D407" s="6">
        <v>46113</v>
      </c>
      <c r="E407" t="s">
        <v>53</v>
      </c>
      <c r="F407" t="s">
        <v>42</v>
      </c>
      <c r="G407" t="s">
        <v>81</v>
      </c>
      <c r="H407" t="s">
        <v>66</v>
      </c>
      <c r="I407">
        <v>3</v>
      </c>
      <c r="J407" s="11">
        <v>122691</v>
      </c>
      <c r="K407" s="11">
        <v>0</v>
      </c>
      <c r="L407" t="s">
        <v>35</v>
      </c>
      <c r="M407" t="s">
        <v>71</v>
      </c>
      <c r="N407" t="s">
        <v>61</v>
      </c>
      <c r="O407" t="s">
        <v>1377</v>
      </c>
    </row>
    <row r="408" spans="1:15" hidden="1" x14ac:dyDescent="0.25">
      <c r="A408" t="s">
        <v>819</v>
      </c>
      <c r="B408" t="s">
        <v>820</v>
      </c>
      <c r="C408" t="s">
        <v>260</v>
      </c>
      <c r="D408" s="6">
        <v>46073</v>
      </c>
      <c r="E408" t="s">
        <v>80</v>
      </c>
      <c r="F408" t="s">
        <v>42</v>
      </c>
      <c r="G408" t="s">
        <v>75</v>
      </c>
      <c r="H408" t="s">
        <v>47</v>
      </c>
      <c r="I408">
        <v>1</v>
      </c>
      <c r="J408" s="11">
        <v>1932152</v>
      </c>
      <c r="K408" s="11">
        <v>50000</v>
      </c>
      <c r="L408" t="s">
        <v>35</v>
      </c>
      <c r="M408" t="s">
        <v>67</v>
      </c>
      <c r="N408" t="s">
        <v>37</v>
      </c>
    </row>
    <row r="409" spans="1:15" hidden="1" x14ac:dyDescent="0.25">
      <c r="A409" t="s">
        <v>821</v>
      </c>
      <c r="B409" t="s">
        <v>573</v>
      </c>
      <c r="C409" t="s">
        <v>195</v>
      </c>
      <c r="D409" s="6">
        <v>46048</v>
      </c>
      <c r="E409" t="s">
        <v>80</v>
      </c>
      <c r="F409" t="s">
        <v>42</v>
      </c>
      <c r="G409" t="s">
        <v>75</v>
      </c>
      <c r="H409" t="s">
        <v>34</v>
      </c>
      <c r="I409">
        <v>5</v>
      </c>
      <c r="J409" s="11">
        <v>1215807</v>
      </c>
      <c r="K409" s="11">
        <v>25000</v>
      </c>
      <c r="L409" t="s">
        <v>35</v>
      </c>
      <c r="M409" t="s">
        <v>36</v>
      </c>
      <c r="N409" t="s">
        <v>37</v>
      </c>
    </row>
    <row r="410" spans="1:15" x14ac:dyDescent="0.25">
      <c r="A410" t="s">
        <v>822</v>
      </c>
      <c r="B410" t="s">
        <v>256</v>
      </c>
      <c r="C410" t="s">
        <v>257</v>
      </c>
      <c r="D410" s="6">
        <v>46129</v>
      </c>
      <c r="E410" t="s">
        <v>41</v>
      </c>
      <c r="F410" t="s">
        <v>42</v>
      </c>
      <c r="G410" t="s">
        <v>60</v>
      </c>
      <c r="H410" t="s">
        <v>47</v>
      </c>
      <c r="I410">
        <v>3</v>
      </c>
      <c r="J410" s="11">
        <v>2444834</v>
      </c>
      <c r="K410" s="11">
        <v>15000</v>
      </c>
      <c r="L410" t="s">
        <v>35</v>
      </c>
      <c r="M410" t="s">
        <v>67</v>
      </c>
      <c r="N410" t="s">
        <v>61</v>
      </c>
    </row>
    <row r="411" spans="1:15" hidden="1" x14ac:dyDescent="0.25">
      <c r="A411" t="s">
        <v>824</v>
      </c>
      <c r="B411" t="s">
        <v>376</v>
      </c>
      <c r="C411" t="s">
        <v>377</v>
      </c>
      <c r="D411" s="6">
        <v>46157</v>
      </c>
      <c r="E411" t="s">
        <v>41</v>
      </c>
      <c r="F411" t="s">
        <v>32</v>
      </c>
      <c r="G411" t="s">
        <v>60</v>
      </c>
      <c r="H411" t="s">
        <v>47</v>
      </c>
      <c r="I411">
        <v>5</v>
      </c>
      <c r="J411" s="11">
        <v>1973468</v>
      </c>
      <c r="K411" s="11">
        <v>25000</v>
      </c>
      <c r="L411" t="s">
        <v>245</v>
      </c>
      <c r="M411" t="s">
        <v>36</v>
      </c>
      <c r="N411" t="s">
        <v>37</v>
      </c>
    </row>
    <row r="412" spans="1:15" hidden="1" x14ac:dyDescent="0.25">
      <c r="A412" t="s">
        <v>826</v>
      </c>
      <c r="B412" t="s">
        <v>100</v>
      </c>
      <c r="C412" t="s">
        <v>101</v>
      </c>
      <c r="E412" t="s">
        <v>53</v>
      </c>
      <c r="F412" t="s">
        <v>32</v>
      </c>
      <c r="G412" t="s">
        <v>85</v>
      </c>
      <c r="H412" t="s">
        <v>76</v>
      </c>
      <c r="I412">
        <v>1</v>
      </c>
      <c r="J412" s="11">
        <v>236068</v>
      </c>
      <c r="K412" s="11">
        <v>50000</v>
      </c>
      <c r="L412" t="s">
        <v>89</v>
      </c>
      <c r="M412" t="s">
        <v>49</v>
      </c>
      <c r="N412" t="s">
        <v>37</v>
      </c>
      <c r="O412" t="s">
        <v>1375</v>
      </c>
    </row>
    <row r="413" spans="1:15" hidden="1" x14ac:dyDescent="0.25">
      <c r="A413" t="s">
        <v>827</v>
      </c>
      <c r="B413" t="s">
        <v>39</v>
      </c>
      <c r="C413" t="s">
        <v>40</v>
      </c>
      <c r="D413" s="6">
        <v>46181</v>
      </c>
      <c r="E413" t="s">
        <v>31</v>
      </c>
      <c r="F413" t="s">
        <v>59</v>
      </c>
      <c r="G413" t="s">
        <v>75</v>
      </c>
      <c r="H413" t="s">
        <v>54</v>
      </c>
      <c r="I413">
        <v>3</v>
      </c>
      <c r="J413" s="11">
        <v>2398637</v>
      </c>
      <c r="K413" s="11">
        <v>50000</v>
      </c>
      <c r="L413" t="s">
        <v>35</v>
      </c>
      <c r="M413" t="s">
        <v>71</v>
      </c>
      <c r="N413" t="s">
        <v>37</v>
      </c>
    </row>
    <row r="414" spans="1:15" hidden="1" x14ac:dyDescent="0.25">
      <c r="A414" t="s">
        <v>828</v>
      </c>
      <c r="B414" t="s">
        <v>583</v>
      </c>
      <c r="C414" t="s">
        <v>377</v>
      </c>
      <c r="D414" s="6">
        <v>46155</v>
      </c>
      <c r="E414" t="s">
        <v>58</v>
      </c>
      <c r="F414" t="s">
        <v>32</v>
      </c>
      <c r="G414" t="s">
        <v>46</v>
      </c>
      <c r="H414" t="s">
        <v>54</v>
      </c>
      <c r="I414">
        <v>1</v>
      </c>
      <c r="J414" s="11">
        <v>2050305</v>
      </c>
      <c r="K414" s="11">
        <v>0</v>
      </c>
      <c r="L414" t="s">
        <v>35</v>
      </c>
      <c r="M414" t="s">
        <v>71</v>
      </c>
      <c r="N414" t="s">
        <v>37</v>
      </c>
      <c r="O414" t="s">
        <v>1377</v>
      </c>
    </row>
    <row r="415" spans="1:15" hidden="1" x14ac:dyDescent="0.25">
      <c r="A415" t="s">
        <v>829</v>
      </c>
      <c r="B415" t="s">
        <v>830</v>
      </c>
      <c r="C415" t="s">
        <v>224</v>
      </c>
      <c r="D415" s="6">
        <v>46146</v>
      </c>
      <c r="E415" t="s">
        <v>58</v>
      </c>
      <c r="F415" t="s">
        <v>42</v>
      </c>
      <c r="G415" t="s">
        <v>46</v>
      </c>
      <c r="H415" t="s">
        <v>34</v>
      </c>
      <c r="I415">
        <v>1</v>
      </c>
      <c r="J415" s="11">
        <v>1509604</v>
      </c>
      <c r="K415" s="11">
        <v>0</v>
      </c>
      <c r="L415" t="s">
        <v>35</v>
      </c>
      <c r="M415" t="s">
        <v>36</v>
      </c>
      <c r="N415" t="s">
        <v>37</v>
      </c>
      <c r="O415" t="s">
        <v>1377</v>
      </c>
    </row>
    <row r="416" spans="1:15" x14ac:dyDescent="0.25">
      <c r="A416" t="s">
        <v>831</v>
      </c>
      <c r="B416" t="s">
        <v>256</v>
      </c>
      <c r="C416" t="s">
        <v>257</v>
      </c>
      <c r="D416" s="6">
        <v>46080</v>
      </c>
      <c r="E416" t="s">
        <v>58</v>
      </c>
      <c r="F416" t="s">
        <v>59</v>
      </c>
      <c r="G416" t="s">
        <v>46</v>
      </c>
      <c r="H416" t="s">
        <v>34</v>
      </c>
      <c r="I416">
        <v>6</v>
      </c>
      <c r="J416" s="11">
        <v>769175</v>
      </c>
      <c r="K416" s="11">
        <v>25000</v>
      </c>
      <c r="L416" t="s">
        <v>35</v>
      </c>
      <c r="M416" t="s">
        <v>49</v>
      </c>
      <c r="N416" t="s">
        <v>61</v>
      </c>
    </row>
    <row r="417" spans="1:15" hidden="1" x14ac:dyDescent="0.25">
      <c r="A417" t="s">
        <v>832</v>
      </c>
      <c r="B417" t="s">
        <v>237</v>
      </c>
      <c r="C417" t="s">
        <v>238</v>
      </c>
      <c r="D417" s="6">
        <v>46023</v>
      </c>
      <c r="E417" t="s">
        <v>58</v>
      </c>
      <c r="F417" t="s">
        <v>59</v>
      </c>
      <c r="G417" t="s">
        <v>81</v>
      </c>
      <c r="H417" t="s">
        <v>76</v>
      </c>
      <c r="I417">
        <v>1</v>
      </c>
      <c r="J417" s="11">
        <v>761821</v>
      </c>
      <c r="K417" s="11">
        <v>50000</v>
      </c>
      <c r="L417" t="s">
        <v>35</v>
      </c>
      <c r="M417" t="s">
        <v>67</v>
      </c>
      <c r="N417" t="s">
        <v>37</v>
      </c>
    </row>
    <row r="418" spans="1:15" x14ac:dyDescent="0.25">
      <c r="A418" t="s">
        <v>833</v>
      </c>
      <c r="B418" t="s">
        <v>782</v>
      </c>
      <c r="C418" t="s">
        <v>165</v>
      </c>
      <c r="D418" s="6">
        <v>46037</v>
      </c>
      <c r="E418" t="s">
        <v>31</v>
      </c>
      <c r="F418" t="s">
        <v>32</v>
      </c>
      <c r="G418" t="s">
        <v>46</v>
      </c>
      <c r="H418" t="s">
        <v>47</v>
      </c>
      <c r="I418">
        <v>4</v>
      </c>
      <c r="J418" s="11">
        <v>630914</v>
      </c>
      <c r="K418" s="11">
        <v>25000</v>
      </c>
      <c r="L418" t="s">
        <v>35</v>
      </c>
      <c r="M418" t="s">
        <v>67</v>
      </c>
      <c r="N418" t="s">
        <v>61</v>
      </c>
    </row>
    <row r="419" spans="1:15" hidden="1" x14ac:dyDescent="0.25">
      <c r="A419" t="s">
        <v>834</v>
      </c>
      <c r="B419" t="s">
        <v>450</v>
      </c>
      <c r="C419" t="s">
        <v>219</v>
      </c>
      <c r="D419" s="6">
        <v>46060</v>
      </c>
      <c r="E419" t="s">
        <v>53</v>
      </c>
      <c r="F419" t="s">
        <v>42</v>
      </c>
      <c r="G419" t="s">
        <v>60</v>
      </c>
      <c r="H419" t="s">
        <v>47</v>
      </c>
      <c r="I419">
        <v>2</v>
      </c>
      <c r="J419" s="11">
        <v>210839</v>
      </c>
      <c r="K419" s="11">
        <v>15000</v>
      </c>
      <c r="L419" t="s">
        <v>48</v>
      </c>
      <c r="M419" t="s">
        <v>36</v>
      </c>
      <c r="N419" t="s">
        <v>37</v>
      </c>
    </row>
    <row r="420" spans="1:15" hidden="1" x14ac:dyDescent="0.25">
      <c r="A420" t="s">
        <v>835</v>
      </c>
      <c r="B420" t="s">
        <v>330</v>
      </c>
      <c r="C420" t="s">
        <v>98</v>
      </c>
      <c r="E420" t="s">
        <v>41</v>
      </c>
      <c r="F420" t="s">
        <v>65</v>
      </c>
      <c r="G420" t="s">
        <v>60</v>
      </c>
      <c r="H420" t="s">
        <v>47</v>
      </c>
      <c r="I420">
        <v>4</v>
      </c>
      <c r="J420" s="11">
        <v>539512</v>
      </c>
      <c r="K420" s="11">
        <v>50000</v>
      </c>
      <c r="L420" t="s">
        <v>35</v>
      </c>
      <c r="M420" t="s">
        <v>67</v>
      </c>
      <c r="N420" t="s">
        <v>37</v>
      </c>
      <c r="O420" t="s">
        <v>1375</v>
      </c>
    </row>
    <row r="421" spans="1:15" hidden="1" x14ac:dyDescent="0.25">
      <c r="A421" t="s">
        <v>838</v>
      </c>
      <c r="B421" t="s">
        <v>128</v>
      </c>
      <c r="C421" t="s">
        <v>129</v>
      </c>
      <c r="D421" s="6">
        <v>46030</v>
      </c>
      <c r="E421" t="s">
        <v>80</v>
      </c>
      <c r="F421" t="s">
        <v>65</v>
      </c>
      <c r="G421" t="s">
        <v>75</v>
      </c>
      <c r="H421" t="s">
        <v>76</v>
      </c>
      <c r="I421">
        <v>1</v>
      </c>
      <c r="J421" s="11">
        <v>1308758</v>
      </c>
      <c r="K421" s="11">
        <v>35000</v>
      </c>
      <c r="L421" t="s">
        <v>35</v>
      </c>
      <c r="M421" t="s">
        <v>67</v>
      </c>
      <c r="N421" t="s">
        <v>37</v>
      </c>
    </row>
    <row r="422" spans="1:15" x14ac:dyDescent="0.25">
      <c r="A422" t="s">
        <v>839</v>
      </c>
      <c r="B422" t="s">
        <v>327</v>
      </c>
      <c r="C422" t="s">
        <v>328</v>
      </c>
      <c r="D422" s="6">
        <v>46113</v>
      </c>
      <c r="E422" t="s">
        <v>31</v>
      </c>
      <c r="F422" t="s">
        <v>32</v>
      </c>
      <c r="G422" t="s">
        <v>46</v>
      </c>
      <c r="H422" t="s">
        <v>76</v>
      </c>
      <c r="I422">
        <v>6</v>
      </c>
      <c r="J422" s="11">
        <v>704281</v>
      </c>
      <c r="K422" s="11">
        <v>35000</v>
      </c>
      <c r="L422" t="s">
        <v>35</v>
      </c>
      <c r="M422" t="s">
        <v>67</v>
      </c>
      <c r="N422" t="s">
        <v>61</v>
      </c>
    </row>
    <row r="423" spans="1:15" hidden="1" x14ac:dyDescent="0.25">
      <c r="A423" t="s">
        <v>840</v>
      </c>
      <c r="B423" t="s">
        <v>841</v>
      </c>
      <c r="C423" t="s">
        <v>84</v>
      </c>
      <c r="D423" s="6">
        <v>46203</v>
      </c>
      <c r="E423" t="s">
        <v>80</v>
      </c>
      <c r="F423" t="s">
        <v>32</v>
      </c>
      <c r="G423" t="s">
        <v>60</v>
      </c>
      <c r="H423" t="s">
        <v>34</v>
      </c>
      <c r="I423">
        <v>5</v>
      </c>
      <c r="J423" s="11">
        <v>2322243</v>
      </c>
      <c r="K423" s="11">
        <v>35000</v>
      </c>
      <c r="L423" t="s">
        <v>35</v>
      </c>
      <c r="M423" t="s">
        <v>36</v>
      </c>
      <c r="N423" t="s">
        <v>37</v>
      </c>
    </row>
    <row r="424" spans="1:15" hidden="1" x14ac:dyDescent="0.25">
      <c r="A424" t="s">
        <v>842</v>
      </c>
      <c r="B424" t="s">
        <v>366</v>
      </c>
      <c r="C424" t="s">
        <v>266</v>
      </c>
      <c r="D424" s="6">
        <v>46191</v>
      </c>
      <c r="E424" t="s">
        <v>41</v>
      </c>
      <c r="F424" t="s">
        <v>59</v>
      </c>
      <c r="G424" t="s">
        <v>46</v>
      </c>
      <c r="H424" t="s">
        <v>34</v>
      </c>
      <c r="I424">
        <v>1</v>
      </c>
      <c r="J424" s="11">
        <v>1390580</v>
      </c>
      <c r="K424" s="11">
        <v>35000</v>
      </c>
      <c r="L424" t="s">
        <v>245</v>
      </c>
      <c r="M424" t="s">
        <v>36</v>
      </c>
      <c r="N424" t="s">
        <v>37</v>
      </c>
    </row>
    <row r="425" spans="1:15" x14ac:dyDescent="0.25">
      <c r="A425" t="s">
        <v>843</v>
      </c>
      <c r="B425" t="s">
        <v>844</v>
      </c>
      <c r="C425" t="s">
        <v>382</v>
      </c>
      <c r="D425" s="6">
        <v>46201</v>
      </c>
      <c r="E425" t="s">
        <v>41</v>
      </c>
      <c r="F425" t="s">
        <v>65</v>
      </c>
      <c r="G425" t="s">
        <v>81</v>
      </c>
      <c r="H425" t="s">
        <v>54</v>
      </c>
      <c r="I425">
        <v>5</v>
      </c>
      <c r="J425" s="11">
        <v>1479275</v>
      </c>
      <c r="K425" s="11">
        <v>50000</v>
      </c>
      <c r="L425" t="s">
        <v>35</v>
      </c>
      <c r="M425" t="s">
        <v>36</v>
      </c>
      <c r="N425" t="s">
        <v>61</v>
      </c>
    </row>
    <row r="426" spans="1:15" hidden="1" x14ac:dyDescent="0.25">
      <c r="A426" t="s">
        <v>845</v>
      </c>
      <c r="B426" t="s">
        <v>505</v>
      </c>
      <c r="C426" t="s">
        <v>470</v>
      </c>
      <c r="D426" s="6">
        <v>46047</v>
      </c>
      <c r="E426" t="s">
        <v>31</v>
      </c>
      <c r="F426" t="s">
        <v>65</v>
      </c>
      <c r="G426" t="s">
        <v>85</v>
      </c>
      <c r="H426" t="s">
        <v>47</v>
      </c>
      <c r="I426">
        <v>6</v>
      </c>
      <c r="J426" s="11">
        <v>565520</v>
      </c>
      <c r="K426" s="11">
        <v>35000</v>
      </c>
      <c r="L426" t="s">
        <v>35</v>
      </c>
      <c r="M426" t="s">
        <v>36</v>
      </c>
      <c r="N426" t="s">
        <v>37</v>
      </c>
    </row>
    <row r="427" spans="1:15" x14ac:dyDescent="0.25">
      <c r="A427" t="s">
        <v>846</v>
      </c>
      <c r="B427" t="s">
        <v>847</v>
      </c>
      <c r="C427" t="s">
        <v>204</v>
      </c>
      <c r="D427" s="6">
        <v>46039</v>
      </c>
      <c r="E427" t="s">
        <v>58</v>
      </c>
      <c r="F427" t="s">
        <v>59</v>
      </c>
      <c r="G427" t="s">
        <v>33</v>
      </c>
      <c r="H427" t="s">
        <v>76</v>
      </c>
      <c r="I427">
        <v>3</v>
      </c>
      <c r="J427" s="11">
        <v>379739</v>
      </c>
      <c r="K427" s="11">
        <v>50000</v>
      </c>
      <c r="L427" t="s">
        <v>35</v>
      </c>
      <c r="M427" t="s">
        <v>71</v>
      </c>
      <c r="N427" t="s">
        <v>61</v>
      </c>
    </row>
    <row r="428" spans="1:15" hidden="1" x14ac:dyDescent="0.25">
      <c r="A428" t="s">
        <v>848</v>
      </c>
      <c r="B428" t="s">
        <v>847</v>
      </c>
      <c r="C428" t="s">
        <v>204</v>
      </c>
      <c r="D428" s="6">
        <v>46067</v>
      </c>
      <c r="E428" t="s">
        <v>53</v>
      </c>
      <c r="F428" t="s">
        <v>42</v>
      </c>
      <c r="G428" t="s">
        <v>85</v>
      </c>
      <c r="H428" t="s">
        <v>66</v>
      </c>
      <c r="I428">
        <v>6</v>
      </c>
      <c r="J428" s="11">
        <v>1467039</v>
      </c>
      <c r="K428" s="11">
        <v>0</v>
      </c>
      <c r="L428" t="s">
        <v>35</v>
      </c>
      <c r="M428" t="s">
        <v>67</v>
      </c>
      <c r="N428" t="s">
        <v>37</v>
      </c>
      <c r="O428" t="s">
        <v>1377</v>
      </c>
    </row>
    <row r="429" spans="1:15" x14ac:dyDescent="0.25">
      <c r="A429" t="s">
        <v>850</v>
      </c>
      <c r="B429" t="s">
        <v>641</v>
      </c>
      <c r="C429" t="s">
        <v>642</v>
      </c>
      <c r="D429" s="6">
        <v>46196</v>
      </c>
      <c r="E429" t="s">
        <v>53</v>
      </c>
      <c r="F429" t="s">
        <v>42</v>
      </c>
      <c r="G429" t="s">
        <v>81</v>
      </c>
      <c r="H429" t="s">
        <v>76</v>
      </c>
      <c r="I429">
        <v>2</v>
      </c>
      <c r="J429" s="11">
        <v>1319945</v>
      </c>
      <c r="K429" s="11">
        <v>15000</v>
      </c>
      <c r="L429" t="s">
        <v>35</v>
      </c>
      <c r="M429" t="s">
        <v>36</v>
      </c>
      <c r="N429" t="s">
        <v>61</v>
      </c>
    </row>
    <row r="430" spans="1:15" hidden="1" x14ac:dyDescent="0.25">
      <c r="A430" t="s">
        <v>851</v>
      </c>
      <c r="B430" t="s">
        <v>369</v>
      </c>
      <c r="C430" t="s">
        <v>370</v>
      </c>
      <c r="D430" s="6">
        <v>46194</v>
      </c>
      <c r="E430" t="s">
        <v>41</v>
      </c>
      <c r="F430" t="s">
        <v>65</v>
      </c>
      <c r="G430" t="s">
        <v>33</v>
      </c>
      <c r="H430" t="s">
        <v>34</v>
      </c>
      <c r="I430">
        <v>1</v>
      </c>
      <c r="J430" s="11">
        <v>523517</v>
      </c>
      <c r="K430" s="11">
        <v>15000</v>
      </c>
      <c r="L430" t="s">
        <v>48</v>
      </c>
      <c r="M430" t="s">
        <v>71</v>
      </c>
      <c r="N430" t="s">
        <v>37</v>
      </c>
    </row>
    <row r="431" spans="1:15" hidden="1" x14ac:dyDescent="0.25">
      <c r="A431" t="s">
        <v>852</v>
      </c>
      <c r="B431" t="s">
        <v>305</v>
      </c>
      <c r="C431" t="s">
        <v>176</v>
      </c>
      <c r="D431" s="6">
        <v>46076</v>
      </c>
      <c r="E431" t="s">
        <v>31</v>
      </c>
      <c r="F431" t="s">
        <v>65</v>
      </c>
      <c r="G431" t="s">
        <v>60</v>
      </c>
      <c r="H431" t="s">
        <v>47</v>
      </c>
      <c r="I431">
        <v>3</v>
      </c>
      <c r="J431" s="11">
        <v>2106979</v>
      </c>
      <c r="K431" s="11">
        <v>50000</v>
      </c>
      <c r="L431" t="s">
        <v>35</v>
      </c>
      <c r="M431" t="s">
        <v>71</v>
      </c>
      <c r="N431" t="s">
        <v>37</v>
      </c>
    </row>
    <row r="432" spans="1:15" hidden="1" x14ac:dyDescent="0.25">
      <c r="A432" t="s">
        <v>854</v>
      </c>
      <c r="B432" t="s">
        <v>283</v>
      </c>
      <c r="C432" t="s">
        <v>284</v>
      </c>
      <c r="D432" s="6">
        <v>46041</v>
      </c>
      <c r="E432" t="s">
        <v>41</v>
      </c>
      <c r="F432" t="s">
        <v>42</v>
      </c>
      <c r="G432" t="s">
        <v>81</v>
      </c>
      <c r="H432" t="s">
        <v>76</v>
      </c>
      <c r="I432">
        <v>7</v>
      </c>
      <c r="J432" s="11">
        <v>447758</v>
      </c>
      <c r="K432" s="11">
        <v>15000</v>
      </c>
      <c r="L432" t="s">
        <v>35</v>
      </c>
      <c r="M432" t="s">
        <v>67</v>
      </c>
      <c r="N432" t="s">
        <v>37</v>
      </c>
    </row>
    <row r="433" spans="1:15" x14ac:dyDescent="0.25">
      <c r="A433" t="s">
        <v>855</v>
      </c>
      <c r="B433" t="s">
        <v>681</v>
      </c>
      <c r="C433" t="s">
        <v>57</v>
      </c>
      <c r="D433" s="6">
        <v>46080</v>
      </c>
      <c r="E433" t="s">
        <v>31</v>
      </c>
      <c r="F433" t="s">
        <v>32</v>
      </c>
      <c r="G433" t="s">
        <v>81</v>
      </c>
      <c r="H433" t="s">
        <v>76</v>
      </c>
      <c r="I433">
        <v>4</v>
      </c>
      <c r="J433" s="11">
        <v>1335913</v>
      </c>
      <c r="K433" s="11">
        <v>25000</v>
      </c>
      <c r="L433" t="s">
        <v>35</v>
      </c>
      <c r="M433" t="s">
        <v>67</v>
      </c>
      <c r="N433" t="s">
        <v>61</v>
      </c>
    </row>
    <row r="434" spans="1:15" x14ac:dyDescent="0.25">
      <c r="A434" t="s">
        <v>856</v>
      </c>
      <c r="B434" t="s">
        <v>321</v>
      </c>
      <c r="C434" t="s">
        <v>92</v>
      </c>
      <c r="D434" s="6">
        <v>46155</v>
      </c>
      <c r="E434" t="s">
        <v>58</v>
      </c>
      <c r="F434" t="s">
        <v>59</v>
      </c>
      <c r="G434" t="s">
        <v>33</v>
      </c>
      <c r="H434" t="s">
        <v>54</v>
      </c>
      <c r="I434">
        <v>4</v>
      </c>
      <c r="J434" s="11">
        <v>2217349</v>
      </c>
      <c r="K434" s="11">
        <v>25000</v>
      </c>
      <c r="L434" t="s">
        <v>35</v>
      </c>
      <c r="M434" t="s">
        <v>36</v>
      </c>
      <c r="N434" t="s">
        <v>61</v>
      </c>
    </row>
    <row r="435" spans="1:15" x14ac:dyDescent="0.25">
      <c r="A435" t="s">
        <v>857</v>
      </c>
      <c r="B435" t="s">
        <v>858</v>
      </c>
      <c r="C435" t="s">
        <v>64</v>
      </c>
      <c r="D435" s="6">
        <v>46130</v>
      </c>
      <c r="E435" t="s">
        <v>80</v>
      </c>
      <c r="F435" t="s">
        <v>65</v>
      </c>
      <c r="G435" t="s">
        <v>85</v>
      </c>
      <c r="H435" t="s">
        <v>47</v>
      </c>
      <c r="I435">
        <v>3</v>
      </c>
      <c r="J435" s="11">
        <v>1214214</v>
      </c>
      <c r="K435" s="11">
        <v>15000</v>
      </c>
      <c r="L435" t="s">
        <v>48</v>
      </c>
      <c r="M435" t="s">
        <v>36</v>
      </c>
      <c r="N435" t="s">
        <v>61</v>
      </c>
    </row>
    <row r="436" spans="1:15" x14ac:dyDescent="0.25">
      <c r="A436" t="s">
        <v>859</v>
      </c>
      <c r="B436" t="s">
        <v>583</v>
      </c>
      <c r="C436" t="s">
        <v>377</v>
      </c>
      <c r="D436" s="6">
        <v>46167</v>
      </c>
      <c r="E436" t="s">
        <v>53</v>
      </c>
      <c r="F436" t="s">
        <v>65</v>
      </c>
      <c r="G436" t="s">
        <v>46</v>
      </c>
      <c r="H436" t="s">
        <v>47</v>
      </c>
      <c r="I436">
        <v>1</v>
      </c>
      <c r="J436" s="11">
        <v>268319</v>
      </c>
      <c r="K436" s="11">
        <v>25000</v>
      </c>
      <c r="L436" t="s">
        <v>245</v>
      </c>
      <c r="M436" t="s">
        <v>36</v>
      </c>
      <c r="N436" t="s">
        <v>61</v>
      </c>
    </row>
    <row r="437" spans="1:15" x14ac:dyDescent="0.25">
      <c r="A437" t="s">
        <v>860</v>
      </c>
      <c r="B437" t="s">
        <v>151</v>
      </c>
      <c r="C437" t="s">
        <v>152</v>
      </c>
      <c r="D437" s="6">
        <v>46033</v>
      </c>
      <c r="E437" t="s">
        <v>41</v>
      </c>
      <c r="F437" t="s">
        <v>59</v>
      </c>
      <c r="G437" t="s">
        <v>33</v>
      </c>
      <c r="H437" t="s">
        <v>34</v>
      </c>
      <c r="I437">
        <v>4</v>
      </c>
      <c r="J437" s="11">
        <v>556464</v>
      </c>
      <c r="K437" s="11">
        <v>0</v>
      </c>
      <c r="L437" t="s">
        <v>35</v>
      </c>
      <c r="M437" t="s">
        <v>36</v>
      </c>
      <c r="N437" t="s">
        <v>61</v>
      </c>
      <c r="O437" t="s">
        <v>1377</v>
      </c>
    </row>
    <row r="438" spans="1:15" hidden="1" x14ac:dyDescent="0.25">
      <c r="A438" t="s">
        <v>861</v>
      </c>
      <c r="B438" t="s">
        <v>565</v>
      </c>
      <c r="C438" t="s">
        <v>114</v>
      </c>
      <c r="D438" s="6">
        <v>46037</v>
      </c>
      <c r="E438" t="s">
        <v>58</v>
      </c>
      <c r="F438" t="s">
        <v>59</v>
      </c>
      <c r="G438" t="s">
        <v>81</v>
      </c>
      <c r="H438" t="s">
        <v>47</v>
      </c>
      <c r="I438">
        <v>5</v>
      </c>
      <c r="J438" s="11">
        <v>230535</v>
      </c>
      <c r="K438" s="11">
        <v>15000</v>
      </c>
      <c r="L438" t="s">
        <v>35</v>
      </c>
      <c r="M438" t="s">
        <v>36</v>
      </c>
      <c r="N438" t="s">
        <v>37</v>
      </c>
    </row>
    <row r="439" spans="1:15" hidden="1" x14ac:dyDescent="0.25">
      <c r="A439" t="s">
        <v>862</v>
      </c>
      <c r="B439" t="s">
        <v>863</v>
      </c>
      <c r="C439" t="s">
        <v>84</v>
      </c>
      <c r="D439" s="6">
        <v>46055</v>
      </c>
      <c r="E439" t="s">
        <v>53</v>
      </c>
      <c r="F439" t="s">
        <v>32</v>
      </c>
      <c r="G439" t="s">
        <v>33</v>
      </c>
      <c r="H439" t="s">
        <v>34</v>
      </c>
      <c r="I439">
        <v>5</v>
      </c>
      <c r="J439" s="11">
        <v>1922370</v>
      </c>
      <c r="K439" s="11">
        <v>35000</v>
      </c>
      <c r="L439" t="s">
        <v>35</v>
      </c>
      <c r="M439" t="s">
        <v>36</v>
      </c>
      <c r="N439" t="s">
        <v>37</v>
      </c>
    </row>
    <row r="440" spans="1:15" x14ac:dyDescent="0.25">
      <c r="A440" t="s">
        <v>864</v>
      </c>
      <c r="B440" t="s">
        <v>417</v>
      </c>
      <c r="C440" t="s">
        <v>70</v>
      </c>
      <c r="D440" s="6">
        <v>46037</v>
      </c>
      <c r="E440" t="s">
        <v>53</v>
      </c>
      <c r="F440" t="s">
        <v>65</v>
      </c>
      <c r="G440" t="s">
        <v>81</v>
      </c>
      <c r="H440" t="s">
        <v>34</v>
      </c>
      <c r="I440">
        <v>1</v>
      </c>
      <c r="J440" s="11">
        <v>1118958</v>
      </c>
      <c r="K440" s="11">
        <v>15000</v>
      </c>
      <c r="L440" t="s">
        <v>35</v>
      </c>
      <c r="M440" t="s">
        <v>67</v>
      </c>
      <c r="N440" t="s">
        <v>61</v>
      </c>
    </row>
    <row r="441" spans="1:15" hidden="1" x14ac:dyDescent="0.25">
      <c r="A441" t="s">
        <v>865</v>
      </c>
      <c r="B441" t="s">
        <v>453</v>
      </c>
      <c r="C441" t="s">
        <v>158</v>
      </c>
      <c r="D441" s="6">
        <v>46037</v>
      </c>
      <c r="E441" t="s">
        <v>53</v>
      </c>
      <c r="F441" t="s">
        <v>42</v>
      </c>
      <c r="G441" t="s">
        <v>33</v>
      </c>
      <c r="H441" t="s">
        <v>34</v>
      </c>
      <c r="I441">
        <v>2</v>
      </c>
      <c r="J441" s="11">
        <v>651484</v>
      </c>
      <c r="K441" s="11">
        <v>35000</v>
      </c>
      <c r="L441" t="s">
        <v>35</v>
      </c>
      <c r="N441" t="s">
        <v>37</v>
      </c>
      <c r="O441" t="s">
        <v>1379</v>
      </c>
    </row>
    <row r="442" spans="1:15" hidden="1" x14ac:dyDescent="0.25">
      <c r="A442" t="s">
        <v>866</v>
      </c>
      <c r="B442" t="s">
        <v>867</v>
      </c>
      <c r="C442" t="s">
        <v>382</v>
      </c>
      <c r="D442" s="6">
        <v>46191</v>
      </c>
      <c r="E442" t="s">
        <v>41</v>
      </c>
      <c r="F442" t="s">
        <v>32</v>
      </c>
      <c r="G442" t="s">
        <v>85</v>
      </c>
      <c r="H442" t="s">
        <v>47</v>
      </c>
      <c r="I442">
        <v>1</v>
      </c>
      <c r="J442" s="11">
        <v>633283</v>
      </c>
      <c r="K442" s="11">
        <v>0</v>
      </c>
      <c r="L442" t="s">
        <v>35</v>
      </c>
      <c r="M442" t="s">
        <v>36</v>
      </c>
      <c r="N442" t="s">
        <v>37</v>
      </c>
      <c r="O442" t="s">
        <v>1377</v>
      </c>
    </row>
    <row r="443" spans="1:15" hidden="1" x14ac:dyDescent="0.25">
      <c r="A443" t="s">
        <v>868</v>
      </c>
      <c r="B443" t="s">
        <v>247</v>
      </c>
      <c r="C443" t="s">
        <v>248</v>
      </c>
      <c r="D443" s="6">
        <v>46164</v>
      </c>
      <c r="E443" t="s">
        <v>58</v>
      </c>
      <c r="F443" t="s">
        <v>65</v>
      </c>
      <c r="G443" t="s">
        <v>33</v>
      </c>
      <c r="H443" t="s">
        <v>47</v>
      </c>
      <c r="I443">
        <v>5</v>
      </c>
      <c r="J443" s="11">
        <v>1347603</v>
      </c>
      <c r="K443" s="11">
        <v>15000</v>
      </c>
      <c r="L443" t="s">
        <v>48</v>
      </c>
      <c r="M443" t="s">
        <v>71</v>
      </c>
      <c r="N443" t="s">
        <v>37</v>
      </c>
    </row>
    <row r="444" spans="1:15" x14ac:dyDescent="0.25">
      <c r="A444" t="s">
        <v>869</v>
      </c>
      <c r="B444" t="s">
        <v>51</v>
      </c>
      <c r="C444" t="s">
        <v>52</v>
      </c>
      <c r="D444" s="6">
        <v>46043</v>
      </c>
      <c r="E444" t="s">
        <v>31</v>
      </c>
      <c r="F444" t="s">
        <v>65</v>
      </c>
      <c r="G444" t="s">
        <v>33</v>
      </c>
      <c r="H444" t="s">
        <v>34</v>
      </c>
      <c r="I444">
        <v>7</v>
      </c>
      <c r="J444" s="11">
        <v>973771</v>
      </c>
      <c r="K444" s="11">
        <v>15000</v>
      </c>
      <c r="L444" t="s">
        <v>89</v>
      </c>
      <c r="M444" t="s">
        <v>49</v>
      </c>
      <c r="N444" t="s">
        <v>61</v>
      </c>
    </row>
    <row r="445" spans="1:15" hidden="1" x14ac:dyDescent="0.25">
      <c r="A445" t="s">
        <v>870</v>
      </c>
      <c r="B445" t="s">
        <v>612</v>
      </c>
      <c r="C445" t="s">
        <v>101</v>
      </c>
      <c r="D445" s="6">
        <v>46201</v>
      </c>
      <c r="E445" t="s">
        <v>80</v>
      </c>
      <c r="F445" t="s">
        <v>32</v>
      </c>
      <c r="G445" t="s">
        <v>46</v>
      </c>
      <c r="H445" t="s">
        <v>47</v>
      </c>
      <c r="I445">
        <v>1</v>
      </c>
      <c r="J445" s="11">
        <v>1966657</v>
      </c>
      <c r="K445" s="11">
        <v>35000</v>
      </c>
      <c r="L445" t="s">
        <v>35</v>
      </c>
      <c r="M445" t="s">
        <v>71</v>
      </c>
      <c r="N445" t="s">
        <v>37</v>
      </c>
    </row>
    <row r="446" spans="1:15" x14ac:dyDescent="0.25">
      <c r="A446" t="s">
        <v>872</v>
      </c>
      <c r="B446" t="s">
        <v>784</v>
      </c>
      <c r="C446" t="s">
        <v>136</v>
      </c>
      <c r="D446" s="6">
        <v>46044</v>
      </c>
      <c r="E446" t="s">
        <v>41</v>
      </c>
      <c r="F446" t="s">
        <v>59</v>
      </c>
      <c r="G446" t="s">
        <v>60</v>
      </c>
      <c r="H446" t="s">
        <v>54</v>
      </c>
      <c r="I446">
        <v>7</v>
      </c>
      <c r="J446" s="11">
        <v>370484</v>
      </c>
      <c r="K446" s="11">
        <v>25000</v>
      </c>
      <c r="L446" t="s">
        <v>35</v>
      </c>
      <c r="M446" t="s">
        <v>36</v>
      </c>
      <c r="N446" t="s">
        <v>61</v>
      </c>
    </row>
    <row r="447" spans="1:15" hidden="1" x14ac:dyDescent="0.25">
      <c r="A447" t="s">
        <v>873</v>
      </c>
      <c r="B447" t="s">
        <v>874</v>
      </c>
      <c r="C447" t="s">
        <v>393</v>
      </c>
      <c r="D447" s="6">
        <v>46120</v>
      </c>
      <c r="E447" t="s">
        <v>53</v>
      </c>
      <c r="F447" t="s">
        <v>32</v>
      </c>
      <c r="G447" t="s">
        <v>81</v>
      </c>
      <c r="H447" t="s">
        <v>76</v>
      </c>
      <c r="I447">
        <v>5</v>
      </c>
      <c r="J447" s="11">
        <v>893542</v>
      </c>
      <c r="K447" s="11">
        <v>35000</v>
      </c>
      <c r="L447" t="s">
        <v>35</v>
      </c>
      <c r="M447" t="s">
        <v>67</v>
      </c>
      <c r="N447" t="s">
        <v>37</v>
      </c>
    </row>
    <row r="448" spans="1:15" hidden="1" x14ac:dyDescent="0.25">
      <c r="A448" t="s">
        <v>875</v>
      </c>
      <c r="B448" t="s">
        <v>847</v>
      </c>
      <c r="C448" t="s">
        <v>204</v>
      </c>
      <c r="D448" s="6">
        <v>46090</v>
      </c>
      <c r="E448" t="s">
        <v>41</v>
      </c>
      <c r="F448" t="s">
        <v>65</v>
      </c>
      <c r="G448" t="s">
        <v>81</v>
      </c>
      <c r="H448" t="s">
        <v>76</v>
      </c>
      <c r="I448">
        <v>3</v>
      </c>
      <c r="J448" s="11">
        <v>1028251</v>
      </c>
      <c r="K448" s="11">
        <v>0</v>
      </c>
      <c r="L448" t="s">
        <v>35</v>
      </c>
      <c r="M448" t="s">
        <v>36</v>
      </c>
      <c r="N448" t="s">
        <v>37</v>
      </c>
      <c r="O448" t="s">
        <v>1377</v>
      </c>
    </row>
    <row r="449" spans="1:15" hidden="1" x14ac:dyDescent="0.25">
      <c r="A449" t="s">
        <v>876</v>
      </c>
      <c r="B449" t="s">
        <v>498</v>
      </c>
      <c r="C449" t="s">
        <v>388</v>
      </c>
      <c r="D449" s="6">
        <v>46196</v>
      </c>
      <c r="E449" t="s">
        <v>53</v>
      </c>
      <c r="F449" t="s">
        <v>32</v>
      </c>
      <c r="G449" t="s">
        <v>85</v>
      </c>
      <c r="H449" t="s">
        <v>47</v>
      </c>
      <c r="I449">
        <v>4</v>
      </c>
      <c r="J449" s="11">
        <v>1325520</v>
      </c>
      <c r="K449" s="11">
        <v>50000</v>
      </c>
      <c r="L449" t="s">
        <v>35</v>
      </c>
      <c r="M449" t="s">
        <v>36</v>
      </c>
      <c r="N449" t="s">
        <v>37</v>
      </c>
    </row>
    <row r="450" spans="1:15" hidden="1" x14ac:dyDescent="0.25">
      <c r="A450" t="s">
        <v>877</v>
      </c>
      <c r="B450" t="s">
        <v>167</v>
      </c>
      <c r="C450" t="s">
        <v>84</v>
      </c>
      <c r="D450" s="6">
        <v>46083</v>
      </c>
      <c r="E450" t="s">
        <v>31</v>
      </c>
      <c r="F450" t="s">
        <v>32</v>
      </c>
      <c r="G450" t="s">
        <v>33</v>
      </c>
      <c r="H450" t="s">
        <v>76</v>
      </c>
      <c r="I450">
        <v>3</v>
      </c>
      <c r="J450" s="11">
        <v>673114</v>
      </c>
      <c r="K450" s="11">
        <v>0</v>
      </c>
      <c r="L450" t="s">
        <v>48</v>
      </c>
      <c r="M450" t="s">
        <v>36</v>
      </c>
      <c r="N450" t="s">
        <v>37</v>
      </c>
      <c r="O450" t="s">
        <v>1377</v>
      </c>
    </row>
    <row r="451" spans="1:15" hidden="1" x14ac:dyDescent="0.25">
      <c r="A451" t="s">
        <v>878</v>
      </c>
      <c r="B451" t="s">
        <v>355</v>
      </c>
      <c r="C451" t="s">
        <v>266</v>
      </c>
      <c r="D451" s="6">
        <v>46180</v>
      </c>
      <c r="E451" t="s">
        <v>53</v>
      </c>
      <c r="F451" t="s">
        <v>65</v>
      </c>
      <c r="G451" t="s">
        <v>81</v>
      </c>
      <c r="H451" t="s">
        <v>66</v>
      </c>
      <c r="I451">
        <v>3</v>
      </c>
      <c r="J451" s="11">
        <v>1270371</v>
      </c>
      <c r="K451" s="11">
        <v>25000</v>
      </c>
      <c r="L451" t="s">
        <v>35</v>
      </c>
      <c r="M451" t="s">
        <v>71</v>
      </c>
      <c r="N451" t="s">
        <v>37</v>
      </c>
    </row>
    <row r="452" spans="1:15" x14ac:dyDescent="0.25">
      <c r="A452" t="s">
        <v>879</v>
      </c>
      <c r="B452" t="s">
        <v>314</v>
      </c>
      <c r="C452" t="s">
        <v>84</v>
      </c>
      <c r="D452" s="6">
        <v>46090</v>
      </c>
      <c r="E452" t="s">
        <v>58</v>
      </c>
      <c r="F452" t="s">
        <v>32</v>
      </c>
      <c r="G452" t="s">
        <v>60</v>
      </c>
      <c r="H452" t="s">
        <v>76</v>
      </c>
      <c r="I452">
        <v>4</v>
      </c>
      <c r="J452" s="11">
        <v>869876</v>
      </c>
      <c r="K452" s="11">
        <v>35000</v>
      </c>
      <c r="L452" t="s">
        <v>35</v>
      </c>
      <c r="M452" t="s">
        <v>67</v>
      </c>
      <c r="N452" t="s">
        <v>61</v>
      </c>
    </row>
    <row r="453" spans="1:15" hidden="1" x14ac:dyDescent="0.25">
      <c r="A453" t="s">
        <v>880</v>
      </c>
      <c r="B453" t="s">
        <v>549</v>
      </c>
      <c r="C453" t="s">
        <v>198</v>
      </c>
      <c r="D453" s="6">
        <v>46037</v>
      </c>
      <c r="E453" t="s">
        <v>41</v>
      </c>
      <c r="F453" t="s">
        <v>42</v>
      </c>
      <c r="G453" t="s">
        <v>33</v>
      </c>
      <c r="H453" t="s">
        <v>66</v>
      </c>
      <c r="I453">
        <v>5</v>
      </c>
      <c r="J453" s="11">
        <v>453643</v>
      </c>
      <c r="K453" s="11">
        <v>25000</v>
      </c>
      <c r="L453" t="s">
        <v>35</v>
      </c>
      <c r="M453" t="s">
        <v>49</v>
      </c>
      <c r="N453" t="s">
        <v>37</v>
      </c>
    </row>
    <row r="454" spans="1:15" x14ac:dyDescent="0.25">
      <c r="A454" t="s">
        <v>881</v>
      </c>
      <c r="B454" t="s">
        <v>308</v>
      </c>
      <c r="C454" t="s">
        <v>309</v>
      </c>
      <c r="D454" s="6">
        <v>46149</v>
      </c>
      <c r="E454" t="s">
        <v>58</v>
      </c>
      <c r="F454" t="s">
        <v>42</v>
      </c>
      <c r="G454" t="s">
        <v>81</v>
      </c>
      <c r="H454" t="s">
        <v>54</v>
      </c>
      <c r="I454">
        <v>6</v>
      </c>
      <c r="J454" s="11">
        <v>653609</v>
      </c>
      <c r="K454" s="11">
        <v>15000</v>
      </c>
      <c r="L454" t="s">
        <v>35</v>
      </c>
      <c r="M454" t="s">
        <v>71</v>
      </c>
      <c r="N454" t="s">
        <v>61</v>
      </c>
    </row>
    <row r="455" spans="1:15" hidden="1" x14ac:dyDescent="0.25">
      <c r="A455" t="s">
        <v>882</v>
      </c>
      <c r="B455" t="s">
        <v>192</v>
      </c>
      <c r="C455" t="s">
        <v>101</v>
      </c>
      <c r="D455" s="6">
        <v>46152</v>
      </c>
      <c r="E455" t="s">
        <v>58</v>
      </c>
      <c r="F455" t="s">
        <v>32</v>
      </c>
      <c r="G455" t="s">
        <v>33</v>
      </c>
      <c r="H455" t="s">
        <v>54</v>
      </c>
      <c r="I455">
        <v>3</v>
      </c>
      <c r="J455" s="11">
        <v>1966789</v>
      </c>
      <c r="K455" s="11">
        <v>50000</v>
      </c>
      <c r="L455" t="s">
        <v>35</v>
      </c>
      <c r="M455" t="s">
        <v>36</v>
      </c>
      <c r="N455" t="s">
        <v>37</v>
      </c>
    </row>
    <row r="456" spans="1:15" hidden="1" x14ac:dyDescent="0.25">
      <c r="A456" t="s">
        <v>883</v>
      </c>
      <c r="B456" t="s">
        <v>87</v>
      </c>
      <c r="C456" t="s">
        <v>88</v>
      </c>
      <c r="D456" s="6">
        <v>46034</v>
      </c>
      <c r="E456" t="s">
        <v>53</v>
      </c>
      <c r="F456" t="s">
        <v>65</v>
      </c>
      <c r="G456" t="s">
        <v>85</v>
      </c>
      <c r="H456" t="s">
        <v>34</v>
      </c>
      <c r="I456">
        <v>1</v>
      </c>
      <c r="J456" s="11">
        <v>1104389</v>
      </c>
      <c r="K456" s="11">
        <v>25000</v>
      </c>
      <c r="L456" t="s">
        <v>35</v>
      </c>
      <c r="M456" t="s">
        <v>36</v>
      </c>
      <c r="N456" t="s">
        <v>37</v>
      </c>
    </row>
    <row r="457" spans="1:15" hidden="1" x14ac:dyDescent="0.25">
      <c r="A457" t="s">
        <v>884</v>
      </c>
      <c r="B457" t="s">
        <v>665</v>
      </c>
      <c r="C457" t="s">
        <v>442</v>
      </c>
      <c r="D457" s="6">
        <v>46118</v>
      </c>
      <c r="E457" t="s">
        <v>58</v>
      </c>
      <c r="F457" t="s">
        <v>32</v>
      </c>
      <c r="G457" t="s">
        <v>46</v>
      </c>
      <c r="H457" t="s">
        <v>66</v>
      </c>
      <c r="I457">
        <v>6</v>
      </c>
      <c r="J457" s="11">
        <v>1864703</v>
      </c>
      <c r="K457" s="11">
        <v>0</v>
      </c>
      <c r="L457" t="s">
        <v>35</v>
      </c>
      <c r="M457" t="s">
        <v>67</v>
      </c>
      <c r="N457" t="s">
        <v>37</v>
      </c>
      <c r="O457" t="s">
        <v>1377</v>
      </c>
    </row>
    <row r="458" spans="1:15" x14ac:dyDescent="0.25">
      <c r="A458" t="s">
        <v>885</v>
      </c>
      <c r="B458" t="s">
        <v>549</v>
      </c>
      <c r="C458" t="s">
        <v>198</v>
      </c>
      <c r="D458" s="6">
        <v>46189</v>
      </c>
      <c r="E458" t="s">
        <v>58</v>
      </c>
      <c r="F458" t="s">
        <v>32</v>
      </c>
      <c r="G458" t="s">
        <v>85</v>
      </c>
      <c r="H458" t="s">
        <v>76</v>
      </c>
      <c r="I458">
        <v>3</v>
      </c>
      <c r="J458" s="11">
        <v>1691671</v>
      </c>
      <c r="K458" s="11">
        <v>35000</v>
      </c>
      <c r="L458" t="s">
        <v>35</v>
      </c>
      <c r="M458" t="s">
        <v>67</v>
      </c>
      <c r="N458" t="s">
        <v>61</v>
      </c>
    </row>
    <row r="459" spans="1:15" x14ac:dyDescent="0.25">
      <c r="A459" t="s">
        <v>886</v>
      </c>
      <c r="B459" t="s">
        <v>887</v>
      </c>
      <c r="C459" t="s">
        <v>888</v>
      </c>
      <c r="D459" s="6">
        <v>46178</v>
      </c>
      <c r="E459" t="s">
        <v>53</v>
      </c>
      <c r="F459" t="s">
        <v>32</v>
      </c>
      <c r="G459" t="s">
        <v>85</v>
      </c>
      <c r="H459" t="s">
        <v>47</v>
      </c>
      <c r="I459">
        <v>5</v>
      </c>
      <c r="J459" s="11">
        <v>1007009</v>
      </c>
      <c r="K459" s="11">
        <v>25000</v>
      </c>
      <c r="L459" t="s">
        <v>35</v>
      </c>
      <c r="M459" t="s">
        <v>36</v>
      </c>
      <c r="N459" t="s">
        <v>61</v>
      </c>
    </row>
    <row r="460" spans="1:15" x14ac:dyDescent="0.25">
      <c r="A460" t="s">
        <v>889</v>
      </c>
      <c r="B460" t="s">
        <v>446</v>
      </c>
      <c r="C460" t="s">
        <v>98</v>
      </c>
      <c r="D460" s="6">
        <v>46061</v>
      </c>
      <c r="E460" t="s">
        <v>53</v>
      </c>
      <c r="F460" t="s">
        <v>59</v>
      </c>
      <c r="G460" t="s">
        <v>46</v>
      </c>
      <c r="H460" t="s">
        <v>54</v>
      </c>
      <c r="I460">
        <v>1</v>
      </c>
      <c r="J460" s="11">
        <v>1718405</v>
      </c>
      <c r="K460" s="11">
        <v>0</v>
      </c>
      <c r="L460" t="s">
        <v>89</v>
      </c>
      <c r="M460" t="s">
        <v>71</v>
      </c>
      <c r="N460" t="s">
        <v>61</v>
      </c>
      <c r="O460" t="s">
        <v>1377</v>
      </c>
    </row>
    <row r="461" spans="1:15" x14ac:dyDescent="0.25">
      <c r="A461" t="s">
        <v>890</v>
      </c>
      <c r="B461" t="s">
        <v>575</v>
      </c>
      <c r="C461" t="s">
        <v>576</v>
      </c>
      <c r="D461" s="6">
        <v>46143</v>
      </c>
      <c r="E461" t="s">
        <v>53</v>
      </c>
      <c r="F461" t="s">
        <v>32</v>
      </c>
      <c r="G461" t="s">
        <v>85</v>
      </c>
      <c r="H461" t="s">
        <v>66</v>
      </c>
      <c r="I461">
        <v>4</v>
      </c>
      <c r="J461" s="11">
        <v>2319694</v>
      </c>
      <c r="K461" s="11">
        <v>50000</v>
      </c>
      <c r="L461" t="s">
        <v>35</v>
      </c>
      <c r="M461" t="s">
        <v>67</v>
      </c>
      <c r="N461" t="s">
        <v>61</v>
      </c>
    </row>
    <row r="462" spans="1:15" hidden="1" x14ac:dyDescent="0.25">
      <c r="A462" t="s">
        <v>891</v>
      </c>
      <c r="B462" t="s">
        <v>318</v>
      </c>
      <c r="C462" t="s">
        <v>45</v>
      </c>
      <c r="D462" s="6">
        <v>46115</v>
      </c>
      <c r="E462" t="s">
        <v>31</v>
      </c>
      <c r="F462" t="s">
        <v>59</v>
      </c>
      <c r="G462" t="s">
        <v>75</v>
      </c>
      <c r="H462" t="s">
        <v>47</v>
      </c>
      <c r="I462">
        <v>3</v>
      </c>
      <c r="J462" s="11">
        <v>1088425</v>
      </c>
      <c r="K462" s="11">
        <v>35000</v>
      </c>
      <c r="L462" t="s">
        <v>35</v>
      </c>
      <c r="M462" t="s">
        <v>67</v>
      </c>
      <c r="N462" t="s">
        <v>37</v>
      </c>
    </row>
    <row r="463" spans="1:15" x14ac:dyDescent="0.25">
      <c r="A463" t="s">
        <v>892</v>
      </c>
      <c r="B463" t="s">
        <v>702</v>
      </c>
      <c r="C463" t="s">
        <v>101</v>
      </c>
      <c r="D463" s="6">
        <v>46113</v>
      </c>
      <c r="E463" t="s">
        <v>53</v>
      </c>
      <c r="F463" t="s">
        <v>42</v>
      </c>
      <c r="G463" t="s">
        <v>60</v>
      </c>
      <c r="H463" t="s">
        <v>47</v>
      </c>
      <c r="I463">
        <v>1</v>
      </c>
      <c r="J463" s="11"/>
      <c r="K463" s="11">
        <v>50000</v>
      </c>
      <c r="L463" t="s">
        <v>245</v>
      </c>
      <c r="M463" t="s">
        <v>36</v>
      </c>
      <c r="N463" t="s">
        <v>61</v>
      </c>
      <c r="O463" t="s">
        <v>1374</v>
      </c>
    </row>
    <row r="464" spans="1:15" hidden="1" x14ac:dyDescent="0.25">
      <c r="A464" t="s">
        <v>893</v>
      </c>
      <c r="B464" t="s">
        <v>413</v>
      </c>
      <c r="C464" t="s">
        <v>122</v>
      </c>
      <c r="D464" s="6">
        <v>46055</v>
      </c>
      <c r="E464" t="s">
        <v>31</v>
      </c>
      <c r="F464" t="s">
        <v>32</v>
      </c>
      <c r="G464" t="s">
        <v>33</v>
      </c>
      <c r="H464" t="s">
        <v>66</v>
      </c>
      <c r="I464">
        <v>7</v>
      </c>
      <c r="J464" s="11">
        <v>2374924</v>
      </c>
      <c r="K464" s="11">
        <v>15000</v>
      </c>
      <c r="L464" t="s">
        <v>245</v>
      </c>
      <c r="M464" t="s">
        <v>36</v>
      </c>
      <c r="N464" t="s">
        <v>37</v>
      </c>
    </row>
    <row r="465" spans="1:15" x14ac:dyDescent="0.25">
      <c r="A465" t="s">
        <v>894</v>
      </c>
      <c r="B465" t="s">
        <v>146</v>
      </c>
      <c r="C465" t="s">
        <v>40</v>
      </c>
      <c r="D465" s="6">
        <v>46043</v>
      </c>
      <c r="E465" t="s">
        <v>31</v>
      </c>
      <c r="F465" t="s">
        <v>42</v>
      </c>
      <c r="G465" t="s">
        <v>60</v>
      </c>
      <c r="H465" t="s">
        <v>54</v>
      </c>
      <c r="I465">
        <v>5</v>
      </c>
      <c r="J465" s="11">
        <v>1833384</v>
      </c>
      <c r="K465" s="11">
        <v>35000</v>
      </c>
      <c r="L465" t="s">
        <v>89</v>
      </c>
      <c r="M465" t="s">
        <v>71</v>
      </c>
      <c r="N465" t="s">
        <v>61</v>
      </c>
    </row>
    <row r="466" spans="1:15" x14ac:dyDescent="0.25">
      <c r="A466" t="s">
        <v>895</v>
      </c>
      <c r="B466" t="s">
        <v>146</v>
      </c>
      <c r="C466" t="s">
        <v>40</v>
      </c>
      <c r="D466" s="6">
        <v>46130</v>
      </c>
      <c r="E466" t="s">
        <v>31</v>
      </c>
      <c r="F466" t="s">
        <v>65</v>
      </c>
      <c r="G466" t="s">
        <v>60</v>
      </c>
      <c r="H466" t="s">
        <v>54</v>
      </c>
      <c r="I466">
        <v>6</v>
      </c>
      <c r="J466" s="11">
        <v>1224679</v>
      </c>
      <c r="K466" s="11">
        <v>50000</v>
      </c>
      <c r="L466" t="s">
        <v>245</v>
      </c>
      <c r="M466" t="s">
        <v>36</v>
      </c>
      <c r="N466" t="s">
        <v>61</v>
      </c>
    </row>
    <row r="467" spans="1:15" x14ac:dyDescent="0.25">
      <c r="A467" t="s">
        <v>896</v>
      </c>
      <c r="B467" t="s">
        <v>457</v>
      </c>
      <c r="C467" t="s">
        <v>260</v>
      </c>
      <c r="D467" s="6">
        <v>46083</v>
      </c>
      <c r="E467" t="s">
        <v>41</v>
      </c>
      <c r="F467" t="s">
        <v>42</v>
      </c>
      <c r="G467" t="s">
        <v>75</v>
      </c>
      <c r="H467" t="s">
        <v>66</v>
      </c>
      <c r="I467">
        <v>4</v>
      </c>
      <c r="J467" s="11">
        <v>2279634</v>
      </c>
      <c r="K467" s="11">
        <v>50000</v>
      </c>
      <c r="L467" t="s">
        <v>245</v>
      </c>
      <c r="M467" t="s">
        <v>36</v>
      </c>
      <c r="N467" t="s">
        <v>61</v>
      </c>
    </row>
    <row r="468" spans="1:15" hidden="1" x14ac:dyDescent="0.25">
      <c r="A468" t="s">
        <v>897</v>
      </c>
      <c r="B468" t="s">
        <v>858</v>
      </c>
      <c r="C468" t="s">
        <v>64</v>
      </c>
      <c r="D468" s="6">
        <v>46109</v>
      </c>
      <c r="E468" t="s">
        <v>41</v>
      </c>
      <c r="F468" t="s">
        <v>59</v>
      </c>
      <c r="G468" t="s">
        <v>75</v>
      </c>
      <c r="H468" t="s">
        <v>47</v>
      </c>
      <c r="I468">
        <v>1</v>
      </c>
      <c r="J468" s="11">
        <v>572027</v>
      </c>
      <c r="K468" s="11">
        <v>0</v>
      </c>
      <c r="L468" t="s">
        <v>35</v>
      </c>
      <c r="M468" t="s">
        <v>36</v>
      </c>
      <c r="N468" t="s">
        <v>37</v>
      </c>
      <c r="O468" t="s">
        <v>1377</v>
      </c>
    </row>
    <row r="469" spans="1:15" hidden="1" x14ac:dyDescent="0.25">
      <c r="A469" t="s">
        <v>898</v>
      </c>
      <c r="B469" t="s">
        <v>330</v>
      </c>
      <c r="C469" t="s">
        <v>98</v>
      </c>
      <c r="D469" s="6">
        <v>46145</v>
      </c>
      <c r="E469" t="s">
        <v>53</v>
      </c>
      <c r="F469" t="s">
        <v>65</v>
      </c>
      <c r="G469" t="s">
        <v>85</v>
      </c>
      <c r="H469" t="s">
        <v>54</v>
      </c>
      <c r="I469">
        <v>6</v>
      </c>
      <c r="J469" s="11">
        <v>684576</v>
      </c>
      <c r="K469" s="11">
        <v>15000</v>
      </c>
      <c r="L469" t="s">
        <v>35</v>
      </c>
      <c r="M469" t="s">
        <v>71</v>
      </c>
      <c r="N469" t="s">
        <v>37</v>
      </c>
    </row>
    <row r="470" spans="1:15" hidden="1" x14ac:dyDescent="0.25">
      <c r="A470" t="s">
        <v>900</v>
      </c>
      <c r="B470" t="s">
        <v>628</v>
      </c>
      <c r="C470" t="s">
        <v>388</v>
      </c>
      <c r="D470" s="6">
        <v>46189</v>
      </c>
      <c r="E470" t="s">
        <v>53</v>
      </c>
      <c r="F470" t="s">
        <v>32</v>
      </c>
      <c r="G470" t="s">
        <v>81</v>
      </c>
      <c r="H470" t="s">
        <v>34</v>
      </c>
      <c r="I470">
        <v>3</v>
      </c>
      <c r="J470" s="11">
        <v>2022230</v>
      </c>
      <c r="K470" s="11">
        <v>35000</v>
      </c>
      <c r="L470" t="s">
        <v>35</v>
      </c>
      <c r="M470" t="s">
        <v>36</v>
      </c>
      <c r="N470" t="s">
        <v>37</v>
      </c>
    </row>
    <row r="471" spans="1:15" hidden="1" x14ac:dyDescent="0.25">
      <c r="A471" t="s">
        <v>901</v>
      </c>
      <c r="B471" t="s">
        <v>189</v>
      </c>
      <c r="C471" t="s">
        <v>190</v>
      </c>
      <c r="D471" s="6">
        <v>46110</v>
      </c>
      <c r="E471" t="s">
        <v>41</v>
      </c>
      <c r="F471" t="s">
        <v>32</v>
      </c>
      <c r="G471" t="s">
        <v>33</v>
      </c>
      <c r="H471" t="s">
        <v>47</v>
      </c>
      <c r="I471">
        <v>5</v>
      </c>
      <c r="J471" s="11">
        <v>322534</v>
      </c>
      <c r="K471" s="11">
        <v>50000</v>
      </c>
      <c r="L471" t="s">
        <v>48</v>
      </c>
      <c r="M471" t="s">
        <v>49</v>
      </c>
      <c r="N471" t="s">
        <v>37</v>
      </c>
    </row>
    <row r="472" spans="1:15" hidden="1" x14ac:dyDescent="0.25">
      <c r="A472" t="s">
        <v>902</v>
      </c>
      <c r="B472" t="s">
        <v>903</v>
      </c>
      <c r="C472" t="s">
        <v>173</v>
      </c>
      <c r="D472" s="6">
        <v>46068</v>
      </c>
      <c r="E472" t="s">
        <v>31</v>
      </c>
      <c r="F472" t="s">
        <v>59</v>
      </c>
      <c r="G472" t="s">
        <v>46</v>
      </c>
      <c r="H472" t="s">
        <v>66</v>
      </c>
      <c r="I472">
        <v>7</v>
      </c>
      <c r="J472" s="11">
        <v>720609</v>
      </c>
      <c r="K472" s="11">
        <v>0</v>
      </c>
      <c r="L472" t="s">
        <v>245</v>
      </c>
      <c r="M472" t="s">
        <v>71</v>
      </c>
      <c r="N472" t="s">
        <v>37</v>
      </c>
      <c r="O472" t="s">
        <v>1377</v>
      </c>
    </row>
    <row r="473" spans="1:15" x14ac:dyDescent="0.25">
      <c r="A473" t="s">
        <v>904</v>
      </c>
      <c r="B473" t="s">
        <v>207</v>
      </c>
      <c r="C473" t="s">
        <v>208</v>
      </c>
      <c r="D473" s="6">
        <v>46111</v>
      </c>
      <c r="E473" t="s">
        <v>31</v>
      </c>
      <c r="F473" t="s">
        <v>42</v>
      </c>
      <c r="G473" t="s">
        <v>33</v>
      </c>
      <c r="H473" t="s">
        <v>66</v>
      </c>
      <c r="I473">
        <v>1</v>
      </c>
      <c r="J473" s="11">
        <v>1314499</v>
      </c>
      <c r="K473" s="11">
        <v>15000</v>
      </c>
      <c r="L473" t="s">
        <v>35</v>
      </c>
      <c r="M473" t="s">
        <v>36</v>
      </c>
      <c r="N473" t="s">
        <v>61</v>
      </c>
    </row>
    <row r="474" spans="1:15" x14ac:dyDescent="0.25">
      <c r="A474" t="s">
        <v>905</v>
      </c>
      <c r="B474" t="s">
        <v>847</v>
      </c>
      <c r="C474" t="s">
        <v>204</v>
      </c>
      <c r="D474" s="6">
        <v>46082</v>
      </c>
      <c r="E474" t="s">
        <v>31</v>
      </c>
      <c r="F474" t="s">
        <v>65</v>
      </c>
      <c r="G474" t="s">
        <v>46</v>
      </c>
      <c r="H474" t="s">
        <v>54</v>
      </c>
      <c r="I474">
        <v>1</v>
      </c>
      <c r="J474" s="11">
        <v>1288653</v>
      </c>
      <c r="K474" s="11">
        <v>15000</v>
      </c>
      <c r="L474" t="s">
        <v>35</v>
      </c>
      <c r="M474" t="s">
        <v>71</v>
      </c>
      <c r="N474" t="s">
        <v>61</v>
      </c>
    </row>
    <row r="475" spans="1:15" hidden="1" x14ac:dyDescent="0.25">
      <c r="A475" t="s">
        <v>907</v>
      </c>
      <c r="B475" t="s">
        <v>116</v>
      </c>
      <c r="C475" t="s">
        <v>74</v>
      </c>
      <c r="D475" s="6">
        <v>46148</v>
      </c>
      <c r="E475" t="s">
        <v>41</v>
      </c>
      <c r="F475" t="s">
        <v>59</v>
      </c>
      <c r="G475" t="s">
        <v>46</v>
      </c>
      <c r="H475" t="s">
        <v>34</v>
      </c>
      <c r="I475">
        <v>2</v>
      </c>
      <c r="J475" s="11">
        <v>228117</v>
      </c>
      <c r="K475" s="11">
        <v>25000</v>
      </c>
      <c r="L475" t="s">
        <v>35</v>
      </c>
      <c r="M475" t="s">
        <v>49</v>
      </c>
      <c r="N475" t="s">
        <v>37</v>
      </c>
    </row>
    <row r="476" spans="1:15" hidden="1" x14ac:dyDescent="0.25">
      <c r="A476" t="s">
        <v>908</v>
      </c>
      <c r="B476" t="s">
        <v>333</v>
      </c>
      <c r="C476" t="s">
        <v>334</v>
      </c>
      <c r="D476" s="6">
        <v>46051</v>
      </c>
      <c r="E476" t="s">
        <v>31</v>
      </c>
      <c r="F476" t="s">
        <v>32</v>
      </c>
      <c r="G476" t="s">
        <v>75</v>
      </c>
      <c r="H476" t="s">
        <v>54</v>
      </c>
      <c r="I476">
        <v>4</v>
      </c>
      <c r="J476" s="11">
        <v>623067</v>
      </c>
      <c r="K476" s="11">
        <v>35000</v>
      </c>
      <c r="L476" t="s">
        <v>35</v>
      </c>
      <c r="M476" t="s">
        <v>67</v>
      </c>
      <c r="N476" t="s">
        <v>37</v>
      </c>
    </row>
    <row r="477" spans="1:15" x14ac:dyDescent="0.25">
      <c r="A477" t="s">
        <v>909</v>
      </c>
      <c r="B477" t="s">
        <v>710</v>
      </c>
      <c r="C477" t="s">
        <v>101</v>
      </c>
      <c r="D477" s="6">
        <v>46043</v>
      </c>
      <c r="E477" t="s">
        <v>41</v>
      </c>
      <c r="F477" t="s">
        <v>65</v>
      </c>
      <c r="G477" t="s">
        <v>75</v>
      </c>
      <c r="H477" t="s">
        <v>66</v>
      </c>
      <c r="I477">
        <v>3</v>
      </c>
      <c r="J477" s="11">
        <v>1052988</v>
      </c>
      <c r="K477" s="11">
        <v>0</v>
      </c>
      <c r="L477" t="s">
        <v>35</v>
      </c>
      <c r="M477" t="s">
        <v>67</v>
      </c>
      <c r="N477" t="s">
        <v>61</v>
      </c>
      <c r="O477" t="s">
        <v>1377</v>
      </c>
    </row>
    <row r="478" spans="1:15" hidden="1" x14ac:dyDescent="0.25">
      <c r="A478" t="s">
        <v>910</v>
      </c>
      <c r="B478" t="s">
        <v>450</v>
      </c>
      <c r="C478" t="s">
        <v>219</v>
      </c>
      <c r="D478" s="6">
        <v>46048</v>
      </c>
      <c r="E478" t="s">
        <v>58</v>
      </c>
      <c r="F478" t="s">
        <v>65</v>
      </c>
      <c r="G478" t="s">
        <v>85</v>
      </c>
      <c r="H478" t="s">
        <v>34</v>
      </c>
      <c r="I478">
        <v>2</v>
      </c>
      <c r="J478" s="11">
        <v>2306477</v>
      </c>
      <c r="K478" s="11">
        <v>25000</v>
      </c>
      <c r="L478" t="s">
        <v>48</v>
      </c>
      <c r="M478" t="s">
        <v>49</v>
      </c>
      <c r="N478" t="s">
        <v>37</v>
      </c>
    </row>
    <row r="479" spans="1:15" x14ac:dyDescent="0.25">
      <c r="A479" t="s">
        <v>911</v>
      </c>
      <c r="B479" t="s">
        <v>283</v>
      </c>
      <c r="C479" t="s">
        <v>284</v>
      </c>
      <c r="D479" s="6">
        <v>46079</v>
      </c>
      <c r="E479" t="s">
        <v>41</v>
      </c>
      <c r="F479" t="s">
        <v>32</v>
      </c>
      <c r="G479" t="s">
        <v>85</v>
      </c>
      <c r="H479" t="s">
        <v>34</v>
      </c>
      <c r="I479">
        <v>4</v>
      </c>
      <c r="J479" s="11">
        <v>940734</v>
      </c>
      <c r="K479" s="11">
        <v>25000</v>
      </c>
      <c r="L479" t="s">
        <v>35</v>
      </c>
      <c r="M479" t="s">
        <v>71</v>
      </c>
      <c r="N479" t="s">
        <v>61</v>
      </c>
    </row>
    <row r="480" spans="1:15" hidden="1" x14ac:dyDescent="0.25">
      <c r="A480" t="s">
        <v>912</v>
      </c>
      <c r="B480" t="s">
        <v>913</v>
      </c>
      <c r="C480" t="s">
        <v>309</v>
      </c>
      <c r="D480" s="6">
        <v>46077</v>
      </c>
      <c r="E480" t="s">
        <v>31</v>
      </c>
      <c r="F480" t="s">
        <v>65</v>
      </c>
      <c r="G480" t="s">
        <v>60</v>
      </c>
      <c r="H480" t="s">
        <v>66</v>
      </c>
      <c r="I480">
        <v>1</v>
      </c>
      <c r="J480" s="11">
        <v>133412</v>
      </c>
      <c r="K480" s="11">
        <v>35000</v>
      </c>
      <c r="L480" t="s">
        <v>35</v>
      </c>
      <c r="M480" t="s">
        <v>36</v>
      </c>
      <c r="N480" t="s">
        <v>37</v>
      </c>
    </row>
    <row r="481" spans="1:15" hidden="1" x14ac:dyDescent="0.25">
      <c r="A481" t="s">
        <v>914</v>
      </c>
      <c r="B481" t="s">
        <v>369</v>
      </c>
      <c r="C481" t="s">
        <v>370</v>
      </c>
      <c r="D481" s="6">
        <v>46172</v>
      </c>
      <c r="E481" t="s">
        <v>80</v>
      </c>
      <c r="F481" t="s">
        <v>42</v>
      </c>
      <c r="G481" t="s">
        <v>33</v>
      </c>
      <c r="H481" t="s">
        <v>47</v>
      </c>
      <c r="I481">
        <v>4</v>
      </c>
      <c r="J481" s="11">
        <v>1104469</v>
      </c>
      <c r="K481" s="11">
        <v>25000</v>
      </c>
      <c r="L481" t="s">
        <v>35</v>
      </c>
      <c r="M481" t="s">
        <v>49</v>
      </c>
      <c r="N481" t="s">
        <v>37</v>
      </c>
    </row>
    <row r="482" spans="1:15" hidden="1" x14ac:dyDescent="0.25">
      <c r="A482" t="s">
        <v>916</v>
      </c>
      <c r="B482" t="s">
        <v>461</v>
      </c>
      <c r="C482" t="s">
        <v>152</v>
      </c>
      <c r="D482" s="6">
        <v>46184</v>
      </c>
      <c r="E482" t="s">
        <v>31</v>
      </c>
      <c r="F482" t="s">
        <v>65</v>
      </c>
      <c r="G482" t="s">
        <v>33</v>
      </c>
      <c r="H482" t="s">
        <v>47</v>
      </c>
      <c r="I482">
        <v>3</v>
      </c>
      <c r="J482" s="11">
        <v>1765048</v>
      </c>
      <c r="K482" s="11">
        <v>50000</v>
      </c>
      <c r="L482" t="s">
        <v>35</v>
      </c>
      <c r="M482" t="s">
        <v>67</v>
      </c>
      <c r="N482" t="s">
        <v>37</v>
      </c>
    </row>
    <row r="483" spans="1:15" x14ac:dyDescent="0.25">
      <c r="A483" t="s">
        <v>917</v>
      </c>
      <c r="B483" t="s">
        <v>606</v>
      </c>
      <c r="C483" t="s">
        <v>370</v>
      </c>
      <c r="D483" s="6">
        <v>46086</v>
      </c>
      <c r="E483" t="s">
        <v>58</v>
      </c>
      <c r="F483" t="s">
        <v>32</v>
      </c>
      <c r="G483" t="s">
        <v>75</v>
      </c>
      <c r="H483" t="s">
        <v>47</v>
      </c>
      <c r="I483">
        <v>2</v>
      </c>
      <c r="J483" s="11">
        <v>1902014</v>
      </c>
      <c r="K483" s="11">
        <v>0</v>
      </c>
      <c r="L483" t="s">
        <v>35</v>
      </c>
      <c r="M483" t="s">
        <v>67</v>
      </c>
      <c r="N483" t="s">
        <v>61</v>
      </c>
      <c r="O483" t="s">
        <v>1377</v>
      </c>
    </row>
    <row r="484" spans="1:15" hidden="1" x14ac:dyDescent="0.25">
      <c r="A484" t="s">
        <v>918</v>
      </c>
      <c r="B484" t="s">
        <v>919</v>
      </c>
      <c r="C484" t="s">
        <v>176</v>
      </c>
      <c r="D484" s="6">
        <v>46146</v>
      </c>
      <c r="E484" t="s">
        <v>80</v>
      </c>
      <c r="F484" t="s">
        <v>42</v>
      </c>
      <c r="G484" t="s">
        <v>60</v>
      </c>
      <c r="H484" t="s">
        <v>54</v>
      </c>
      <c r="I484">
        <v>4</v>
      </c>
      <c r="J484" s="11">
        <v>2171746</v>
      </c>
      <c r="K484" s="11">
        <v>50000</v>
      </c>
      <c r="L484" t="s">
        <v>35</v>
      </c>
      <c r="M484" t="s">
        <v>67</v>
      </c>
      <c r="N484" t="s">
        <v>37</v>
      </c>
    </row>
    <row r="485" spans="1:15" hidden="1" x14ac:dyDescent="0.25">
      <c r="A485" t="s">
        <v>920</v>
      </c>
      <c r="B485" t="s">
        <v>921</v>
      </c>
      <c r="C485" t="s">
        <v>200</v>
      </c>
      <c r="D485" s="6">
        <v>46195</v>
      </c>
      <c r="E485" t="s">
        <v>58</v>
      </c>
      <c r="F485" t="s">
        <v>32</v>
      </c>
      <c r="G485" t="s">
        <v>60</v>
      </c>
      <c r="H485" t="s">
        <v>34</v>
      </c>
      <c r="I485">
        <v>4</v>
      </c>
      <c r="J485" s="11">
        <v>1452187</v>
      </c>
      <c r="K485" s="11">
        <v>35000</v>
      </c>
      <c r="L485" t="s">
        <v>48</v>
      </c>
      <c r="M485" t="s">
        <v>36</v>
      </c>
      <c r="N485" t="s">
        <v>37</v>
      </c>
    </row>
    <row r="486" spans="1:15" hidden="1" x14ac:dyDescent="0.25">
      <c r="A486" t="s">
        <v>922</v>
      </c>
      <c r="B486" t="s">
        <v>923</v>
      </c>
      <c r="C486" t="s">
        <v>370</v>
      </c>
      <c r="D486" s="6">
        <v>46034</v>
      </c>
      <c r="E486" t="s">
        <v>53</v>
      </c>
      <c r="F486" t="s">
        <v>42</v>
      </c>
      <c r="G486" t="s">
        <v>75</v>
      </c>
      <c r="H486" t="s">
        <v>54</v>
      </c>
      <c r="J486" s="11">
        <v>1413987</v>
      </c>
      <c r="K486" s="11">
        <v>35000</v>
      </c>
      <c r="L486" t="s">
        <v>35</v>
      </c>
      <c r="M486" t="s">
        <v>71</v>
      </c>
      <c r="N486" t="s">
        <v>37</v>
      </c>
      <c r="O486" t="s">
        <v>1376</v>
      </c>
    </row>
    <row r="487" spans="1:15" x14ac:dyDescent="0.25">
      <c r="A487" t="s">
        <v>925</v>
      </c>
      <c r="B487" t="s">
        <v>844</v>
      </c>
      <c r="C487" t="s">
        <v>382</v>
      </c>
      <c r="D487" s="6">
        <v>46177</v>
      </c>
      <c r="E487" t="s">
        <v>80</v>
      </c>
      <c r="F487" t="s">
        <v>32</v>
      </c>
      <c r="G487" t="s">
        <v>46</v>
      </c>
      <c r="H487" t="s">
        <v>54</v>
      </c>
      <c r="I487">
        <v>6</v>
      </c>
      <c r="J487" s="11">
        <v>2383948</v>
      </c>
      <c r="K487" s="11">
        <v>0</v>
      </c>
      <c r="L487" t="s">
        <v>35</v>
      </c>
      <c r="M487" t="s">
        <v>36</v>
      </c>
      <c r="N487" t="s">
        <v>61</v>
      </c>
      <c r="O487" t="s">
        <v>1377</v>
      </c>
    </row>
    <row r="488" spans="1:15" hidden="1" x14ac:dyDescent="0.25">
      <c r="A488" t="s">
        <v>926</v>
      </c>
      <c r="B488" t="s">
        <v>913</v>
      </c>
      <c r="C488" t="s">
        <v>309</v>
      </c>
      <c r="D488" s="6">
        <v>46076</v>
      </c>
      <c r="E488" t="s">
        <v>31</v>
      </c>
      <c r="F488" t="s">
        <v>32</v>
      </c>
      <c r="G488" t="s">
        <v>85</v>
      </c>
      <c r="H488" t="s">
        <v>66</v>
      </c>
      <c r="I488">
        <v>2</v>
      </c>
      <c r="J488" s="11">
        <v>1638748</v>
      </c>
      <c r="K488" s="11">
        <v>50000</v>
      </c>
      <c r="L488" t="s">
        <v>89</v>
      </c>
      <c r="M488" t="s">
        <v>71</v>
      </c>
      <c r="N488" t="s">
        <v>37</v>
      </c>
    </row>
    <row r="489" spans="1:15" hidden="1" x14ac:dyDescent="0.25">
      <c r="A489" t="s">
        <v>927</v>
      </c>
      <c r="B489" t="s">
        <v>100</v>
      </c>
      <c r="C489" t="s">
        <v>101</v>
      </c>
      <c r="D489" s="6">
        <v>46078</v>
      </c>
      <c r="E489" t="s">
        <v>53</v>
      </c>
      <c r="F489" t="s">
        <v>65</v>
      </c>
      <c r="G489" t="s">
        <v>46</v>
      </c>
      <c r="H489" t="s">
        <v>47</v>
      </c>
      <c r="I489">
        <v>1</v>
      </c>
      <c r="J489" s="11">
        <v>2439245</v>
      </c>
      <c r="K489" s="11">
        <v>15000</v>
      </c>
      <c r="L489" t="s">
        <v>35</v>
      </c>
      <c r="M489" t="s">
        <v>67</v>
      </c>
      <c r="N489" t="s">
        <v>37</v>
      </c>
    </row>
    <row r="490" spans="1:15" hidden="1" x14ac:dyDescent="0.25">
      <c r="A490" t="s">
        <v>929</v>
      </c>
      <c r="B490" t="s">
        <v>327</v>
      </c>
      <c r="C490" t="s">
        <v>328</v>
      </c>
      <c r="D490" s="6">
        <v>46063</v>
      </c>
      <c r="E490" t="s">
        <v>31</v>
      </c>
      <c r="F490" t="s">
        <v>65</v>
      </c>
      <c r="G490" t="s">
        <v>33</v>
      </c>
      <c r="H490" t="s">
        <v>54</v>
      </c>
      <c r="I490">
        <v>1</v>
      </c>
      <c r="J490" s="11">
        <v>1307364</v>
      </c>
      <c r="K490" s="11">
        <v>25000</v>
      </c>
      <c r="L490" t="s">
        <v>35</v>
      </c>
      <c r="M490" t="s">
        <v>71</v>
      </c>
      <c r="N490" t="s">
        <v>37</v>
      </c>
    </row>
    <row r="491" spans="1:15" x14ac:dyDescent="0.25">
      <c r="A491" t="s">
        <v>930</v>
      </c>
      <c r="B491" t="s">
        <v>597</v>
      </c>
      <c r="C491" t="s">
        <v>190</v>
      </c>
      <c r="D491" s="6">
        <v>46125</v>
      </c>
      <c r="E491" t="s">
        <v>41</v>
      </c>
      <c r="F491" t="s">
        <v>65</v>
      </c>
      <c r="G491" t="s">
        <v>81</v>
      </c>
      <c r="H491" t="s">
        <v>76</v>
      </c>
      <c r="I491">
        <v>7</v>
      </c>
      <c r="J491" s="11">
        <v>670264</v>
      </c>
      <c r="K491" s="11">
        <v>25000</v>
      </c>
      <c r="L491" t="s">
        <v>35</v>
      </c>
      <c r="M491" t="s">
        <v>67</v>
      </c>
      <c r="N491" t="s">
        <v>61</v>
      </c>
    </row>
    <row r="492" spans="1:15" hidden="1" x14ac:dyDescent="0.25">
      <c r="A492" t="s">
        <v>931</v>
      </c>
      <c r="B492" t="s">
        <v>932</v>
      </c>
      <c r="C492" t="s">
        <v>727</v>
      </c>
      <c r="D492" s="6">
        <v>46173</v>
      </c>
      <c r="E492" t="s">
        <v>80</v>
      </c>
      <c r="F492" t="s">
        <v>59</v>
      </c>
      <c r="G492" t="s">
        <v>46</v>
      </c>
      <c r="H492" t="s">
        <v>54</v>
      </c>
      <c r="I492">
        <v>7</v>
      </c>
      <c r="J492" s="11">
        <v>1760492</v>
      </c>
      <c r="K492" s="11">
        <v>15000</v>
      </c>
      <c r="L492" t="s">
        <v>35</v>
      </c>
      <c r="M492" t="s">
        <v>67</v>
      </c>
      <c r="N492" t="s">
        <v>37</v>
      </c>
    </row>
    <row r="493" spans="1:15" hidden="1" x14ac:dyDescent="0.25">
      <c r="A493" t="s">
        <v>933</v>
      </c>
      <c r="B493" t="s">
        <v>91</v>
      </c>
      <c r="C493" t="s">
        <v>92</v>
      </c>
      <c r="D493" s="6">
        <v>46140</v>
      </c>
      <c r="E493" t="s">
        <v>41</v>
      </c>
      <c r="F493" t="s">
        <v>65</v>
      </c>
      <c r="G493" t="s">
        <v>85</v>
      </c>
      <c r="H493" t="s">
        <v>47</v>
      </c>
      <c r="I493">
        <v>3</v>
      </c>
      <c r="J493" s="11">
        <v>970045</v>
      </c>
      <c r="K493" s="11">
        <v>0</v>
      </c>
      <c r="L493" t="s">
        <v>89</v>
      </c>
      <c r="M493" t="s">
        <v>71</v>
      </c>
      <c r="N493" t="s">
        <v>37</v>
      </c>
      <c r="O493" t="s">
        <v>1377</v>
      </c>
    </row>
    <row r="494" spans="1:15" hidden="1" x14ac:dyDescent="0.25">
      <c r="A494" t="s">
        <v>934</v>
      </c>
      <c r="B494" t="s">
        <v>475</v>
      </c>
      <c r="C494" t="s">
        <v>328</v>
      </c>
      <c r="D494" s="6">
        <v>46095</v>
      </c>
      <c r="E494" t="s">
        <v>41</v>
      </c>
      <c r="F494" t="s">
        <v>32</v>
      </c>
      <c r="G494" t="s">
        <v>46</v>
      </c>
      <c r="H494" t="s">
        <v>54</v>
      </c>
      <c r="I494">
        <v>2</v>
      </c>
      <c r="J494" s="11">
        <v>2356419</v>
      </c>
      <c r="K494" s="11">
        <v>50000</v>
      </c>
      <c r="L494" t="s">
        <v>35</v>
      </c>
      <c r="M494" t="s">
        <v>49</v>
      </c>
      <c r="N494" t="s">
        <v>37</v>
      </c>
    </row>
    <row r="495" spans="1:15" hidden="1" x14ac:dyDescent="0.25">
      <c r="A495" t="s">
        <v>935</v>
      </c>
      <c r="B495" t="s">
        <v>685</v>
      </c>
      <c r="C495" t="s">
        <v>79</v>
      </c>
      <c r="E495" t="s">
        <v>53</v>
      </c>
      <c r="F495" t="s">
        <v>65</v>
      </c>
      <c r="G495" t="s">
        <v>75</v>
      </c>
      <c r="H495" t="s">
        <v>66</v>
      </c>
      <c r="I495">
        <v>7</v>
      </c>
      <c r="J495" s="11">
        <v>224404</v>
      </c>
      <c r="K495" s="11">
        <v>35000</v>
      </c>
      <c r="L495" t="s">
        <v>35</v>
      </c>
      <c r="M495" t="s">
        <v>36</v>
      </c>
      <c r="N495" t="s">
        <v>37</v>
      </c>
      <c r="O495" t="s">
        <v>1375</v>
      </c>
    </row>
    <row r="496" spans="1:15" hidden="1" x14ac:dyDescent="0.25">
      <c r="A496" t="s">
        <v>936</v>
      </c>
      <c r="B496" t="s">
        <v>135</v>
      </c>
      <c r="C496" t="s">
        <v>136</v>
      </c>
      <c r="D496" s="6">
        <v>46184</v>
      </c>
      <c r="E496" t="s">
        <v>41</v>
      </c>
      <c r="F496" t="s">
        <v>42</v>
      </c>
      <c r="G496" t="s">
        <v>81</v>
      </c>
      <c r="H496" t="s">
        <v>34</v>
      </c>
      <c r="I496">
        <v>5</v>
      </c>
      <c r="J496" s="11">
        <v>470788</v>
      </c>
      <c r="K496" s="11">
        <v>0</v>
      </c>
      <c r="L496" t="s">
        <v>35</v>
      </c>
      <c r="M496" t="s">
        <v>71</v>
      </c>
      <c r="N496" t="s">
        <v>37</v>
      </c>
      <c r="O496" t="s">
        <v>1377</v>
      </c>
    </row>
    <row r="497" spans="1:15" x14ac:dyDescent="0.25">
      <c r="A497" t="s">
        <v>937</v>
      </c>
      <c r="B497" t="s">
        <v>745</v>
      </c>
      <c r="C497" t="s">
        <v>158</v>
      </c>
      <c r="D497" s="6">
        <v>46144</v>
      </c>
      <c r="E497" t="s">
        <v>80</v>
      </c>
      <c r="F497" t="s">
        <v>59</v>
      </c>
      <c r="G497" t="s">
        <v>33</v>
      </c>
      <c r="H497" t="s">
        <v>66</v>
      </c>
      <c r="I497">
        <v>7</v>
      </c>
      <c r="J497" s="11">
        <v>2315322</v>
      </c>
      <c r="K497" s="11">
        <v>50000</v>
      </c>
      <c r="L497" t="s">
        <v>35</v>
      </c>
      <c r="M497" t="s">
        <v>36</v>
      </c>
      <c r="N497" t="s">
        <v>61</v>
      </c>
    </row>
    <row r="498" spans="1:15" hidden="1" x14ac:dyDescent="0.25">
      <c r="A498" t="s">
        <v>938</v>
      </c>
      <c r="B498" t="s">
        <v>355</v>
      </c>
      <c r="C498" t="s">
        <v>266</v>
      </c>
      <c r="D498" s="6">
        <v>46105</v>
      </c>
      <c r="E498" t="s">
        <v>53</v>
      </c>
      <c r="F498" t="s">
        <v>59</v>
      </c>
      <c r="G498" t="s">
        <v>46</v>
      </c>
      <c r="H498" t="s">
        <v>47</v>
      </c>
      <c r="I498">
        <v>4</v>
      </c>
      <c r="J498" s="11">
        <v>2491091</v>
      </c>
      <c r="K498" s="11">
        <v>50000</v>
      </c>
      <c r="L498" t="s">
        <v>48</v>
      </c>
      <c r="M498" t="s">
        <v>36</v>
      </c>
      <c r="N498" t="s">
        <v>37</v>
      </c>
    </row>
    <row r="499" spans="1:15" hidden="1" x14ac:dyDescent="0.25">
      <c r="A499" t="s">
        <v>939</v>
      </c>
      <c r="B499" t="s">
        <v>940</v>
      </c>
      <c r="C499" t="s">
        <v>636</v>
      </c>
      <c r="D499" s="6">
        <v>46083</v>
      </c>
      <c r="E499" t="s">
        <v>58</v>
      </c>
      <c r="F499" t="s">
        <v>65</v>
      </c>
      <c r="G499" t="s">
        <v>60</v>
      </c>
      <c r="H499" t="s">
        <v>54</v>
      </c>
      <c r="I499">
        <v>6</v>
      </c>
      <c r="J499" s="11">
        <v>1469886</v>
      </c>
      <c r="K499" s="11">
        <v>35000</v>
      </c>
      <c r="L499" t="s">
        <v>35</v>
      </c>
      <c r="M499" t="s">
        <v>36</v>
      </c>
      <c r="N499" t="s">
        <v>37</v>
      </c>
    </row>
    <row r="500" spans="1:15" x14ac:dyDescent="0.25">
      <c r="A500" t="s">
        <v>941</v>
      </c>
      <c r="B500" t="s">
        <v>39</v>
      </c>
      <c r="C500" t="s">
        <v>40</v>
      </c>
      <c r="D500" s="6">
        <v>46026</v>
      </c>
      <c r="E500" t="s">
        <v>58</v>
      </c>
      <c r="F500" t="s">
        <v>65</v>
      </c>
      <c r="G500" t="s">
        <v>60</v>
      </c>
      <c r="H500" t="s">
        <v>47</v>
      </c>
      <c r="I500">
        <v>6</v>
      </c>
      <c r="J500" s="11">
        <v>799867</v>
      </c>
      <c r="K500" s="11">
        <v>50000</v>
      </c>
      <c r="L500" t="s">
        <v>35</v>
      </c>
      <c r="M500" t="s">
        <v>67</v>
      </c>
      <c r="N500" t="s">
        <v>61</v>
      </c>
    </row>
    <row r="501" spans="1:15" hidden="1" x14ac:dyDescent="0.25">
      <c r="A501" t="s">
        <v>942</v>
      </c>
      <c r="B501" t="s">
        <v>943</v>
      </c>
      <c r="C501" t="s">
        <v>165</v>
      </c>
      <c r="D501" s="6">
        <v>46157</v>
      </c>
      <c r="E501" t="s">
        <v>58</v>
      </c>
      <c r="F501" t="s">
        <v>59</v>
      </c>
      <c r="G501" t="s">
        <v>33</v>
      </c>
      <c r="H501" t="s">
        <v>66</v>
      </c>
      <c r="I501">
        <v>6</v>
      </c>
      <c r="J501" s="11">
        <v>2163437</v>
      </c>
      <c r="K501" s="11">
        <v>15000</v>
      </c>
      <c r="L501" t="s">
        <v>48</v>
      </c>
      <c r="M501" t="s">
        <v>67</v>
      </c>
      <c r="N501" t="s">
        <v>37</v>
      </c>
    </row>
    <row r="502" spans="1:15" hidden="1" x14ac:dyDescent="0.25">
      <c r="A502" t="s">
        <v>944</v>
      </c>
      <c r="B502" t="s">
        <v>745</v>
      </c>
      <c r="C502" t="s">
        <v>158</v>
      </c>
      <c r="D502" s="6">
        <v>46118</v>
      </c>
      <c r="E502" t="s">
        <v>53</v>
      </c>
      <c r="F502" t="s">
        <v>32</v>
      </c>
      <c r="G502" t="s">
        <v>46</v>
      </c>
      <c r="H502" t="s">
        <v>76</v>
      </c>
      <c r="I502">
        <v>2</v>
      </c>
      <c r="J502" s="11">
        <v>2484792</v>
      </c>
      <c r="K502" s="11">
        <v>15000</v>
      </c>
      <c r="L502" t="s">
        <v>35</v>
      </c>
      <c r="M502" t="s">
        <v>36</v>
      </c>
      <c r="N502" t="s">
        <v>37</v>
      </c>
    </row>
    <row r="503" spans="1:15" x14ac:dyDescent="0.25">
      <c r="A503" t="s">
        <v>945</v>
      </c>
      <c r="B503" t="s">
        <v>172</v>
      </c>
      <c r="C503" t="s">
        <v>173</v>
      </c>
      <c r="D503" s="6">
        <v>46141</v>
      </c>
      <c r="E503" t="s">
        <v>31</v>
      </c>
      <c r="F503" t="s">
        <v>42</v>
      </c>
      <c r="G503" t="s">
        <v>46</v>
      </c>
      <c r="H503" t="s">
        <v>47</v>
      </c>
      <c r="I503">
        <v>6</v>
      </c>
      <c r="J503" s="11">
        <v>1003392</v>
      </c>
      <c r="K503" s="11">
        <v>25000</v>
      </c>
      <c r="L503" t="s">
        <v>35</v>
      </c>
      <c r="M503" t="s">
        <v>71</v>
      </c>
      <c r="N503" t="s">
        <v>61</v>
      </c>
    </row>
    <row r="504" spans="1:15" hidden="1" x14ac:dyDescent="0.25">
      <c r="A504" t="s">
        <v>946</v>
      </c>
      <c r="B504" t="s">
        <v>110</v>
      </c>
      <c r="C504" t="s">
        <v>111</v>
      </c>
      <c r="D504" s="6">
        <v>46129</v>
      </c>
      <c r="E504" t="s">
        <v>80</v>
      </c>
      <c r="F504" t="s">
        <v>42</v>
      </c>
      <c r="G504" t="s">
        <v>85</v>
      </c>
      <c r="H504" t="s">
        <v>54</v>
      </c>
      <c r="I504">
        <v>4</v>
      </c>
      <c r="J504" s="11">
        <v>871727</v>
      </c>
      <c r="K504" s="11">
        <v>15000</v>
      </c>
      <c r="L504" t="s">
        <v>35</v>
      </c>
      <c r="M504" t="s">
        <v>49</v>
      </c>
      <c r="N504" t="s">
        <v>37</v>
      </c>
    </row>
    <row r="505" spans="1:15" x14ac:dyDescent="0.25">
      <c r="A505" t="s">
        <v>947</v>
      </c>
      <c r="B505" t="s">
        <v>316</v>
      </c>
      <c r="C505" t="s">
        <v>224</v>
      </c>
      <c r="D505" s="6">
        <v>46047</v>
      </c>
      <c r="E505" t="s">
        <v>53</v>
      </c>
      <c r="F505" t="s">
        <v>42</v>
      </c>
      <c r="G505" t="s">
        <v>33</v>
      </c>
      <c r="H505" t="s">
        <v>54</v>
      </c>
      <c r="I505">
        <v>4</v>
      </c>
      <c r="J505" s="11">
        <v>376304</v>
      </c>
      <c r="K505" s="11">
        <v>50000</v>
      </c>
      <c r="L505" t="s">
        <v>35</v>
      </c>
      <c r="M505" t="s">
        <v>67</v>
      </c>
      <c r="N505" t="s">
        <v>61</v>
      </c>
    </row>
    <row r="506" spans="1:15" x14ac:dyDescent="0.25">
      <c r="A506" t="s">
        <v>948</v>
      </c>
      <c r="B506" t="s">
        <v>91</v>
      </c>
      <c r="C506" t="s">
        <v>92</v>
      </c>
      <c r="D506" s="6">
        <v>46095</v>
      </c>
      <c r="E506" t="s">
        <v>41</v>
      </c>
      <c r="F506" t="s">
        <v>32</v>
      </c>
      <c r="G506" t="s">
        <v>46</v>
      </c>
      <c r="H506" t="s">
        <v>76</v>
      </c>
      <c r="I506">
        <v>6</v>
      </c>
      <c r="J506" s="11">
        <v>1907468</v>
      </c>
      <c r="K506" s="11">
        <v>50000</v>
      </c>
      <c r="L506" t="s">
        <v>35</v>
      </c>
      <c r="M506" t="s">
        <v>36</v>
      </c>
      <c r="N506" t="s">
        <v>61</v>
      </c>
    </row>
    <row r="507" spans="1:15" hidden="1" x14ac:dyDescent="0.25">
      <c r="A507" t="s">
        <v>949</v>
      </c>
      <c r="B507" t="s">
        <v>453</v>
      </c>
      <c r="C507" t="s">
        <v>158</v>
      </c>
      <c r="D507" s="6">
        <v>46174</v>
      </c>
      <c r="E507" t="s">
        <v>53</v>
      </c>
      <c r="F507" t="s">
        <v>65</v>
      </c>
      <c r="G507" t="s">
        <v>85</v>
      </c>
      <c r="H507" t="s">
        <v>76</v>
      </c>
      <c r="I507">
        <v>6</v>
      </c>
      <c r="J507" s="11">
        <v>759303</v>
      </c>
      <c r="K507" s="11">
        <v>0</v>
      </c>
      <c r="L507" t="s">
        <v>35</v>
      </c>
      <c r="M507" t="s">
        <v>67</v>
      </c>
      <c r="N507" t="s">
        <v>37</v>
      </c>
      <c r="O507" t="s">
        <v>1377</v>
      </c>
    </row>
    <row r="508" spans="1:15" x14ac:dyDescent="0.25">
      <c r="A508" t="s">
        <v>950</v>
      </c>
      <c r="B508" t="s">
        <v>316</v>
      </c>
      <c r="C508" t="s">
        <v>224</v>
      </c>
      <c r="D508" s="6">
        <v>46170</v>
      </c>
      <c r="E508" t="s">
        <v>58</v>
      </c>
      <c r="F508" t="s">
        <v>42</v>
      </c>
      <c r="G508" t="s">
        <v>85</v>
      </c>
      <c r="H508" t="s">
        <v>54</v>
      </c>
      <c r="I508">
        <v>6</v>
      </c>
      <c r="J508" s="11">
        <v>1282818</v>
      </c>
      <c r="K508" s="11">
        <v>50000</v>
      </c>
      <c r="L508" t="s">
        <v>245</v>
      </c>
      <c r="M508" t="s">
        <v>67</v>
      </c>
      <c r="N508" t="s">
        <v>61</v>
      </c>
    </row>
    <row r="509" spans="1:15" hidden="1" x14ac:dyDescent="0.25">
      <c r="A509" t="s">
        <v>951</v>
      </c>
      <c r="B509" t="s">
        <v>135</v>
      </c>
      <c r="C509" t="s">
        <v>136</v>
      </c>
      <c r="D509" s="6">
        <v>46065</v>
      </c>
      <c r="E509" t="s">
        <v>31</v>
      </c>
      <c r="F509" t="s">
        <v>59</v>
      </c>
      <c r="G509" t="s">
        <v>60</v>
      </c>
      <c r="H509" t="s">
        <v>47</v>
      </c>
      <c r="I509">
        <v>3</v>
      </c>
      <c r="J509" s="11">
        <v>2114240</v>
      </c>
      <c r="K509" s="11">
        <v>0</v>
      </c>
      <c r="L509" t="s">
        <v>35</v>
      </c>
      <c r="M509" t="s">
        <v>49</v>
      </c>
      <c r="N509" t="s">
        <v>37</v>
      </c>
      <c r="O509" t="s">
        <v>1377</v>
      </c>
    </row>
    <row r="510" spans="1:15" hidden="1" x14ac:dyDescent="0.25">
      <c r="A510" t="s">
        <v>952</v>
      </c>
      <c r="B510" t="s">
        <v>298</v>
      </c>
      <c r="C510" t="s">
        <v>88</v>
      </c>
      <c r="D510" s="6">
        <v>46151</v>
      </c>
      <c r="E510" t="s">
        <v>41</v>
      </c>
      <c r="F510" t="s">
        <v>32</v>
      </c>
      <c r="G510" t="s">
        <v>33</v>
      </c>
      <c r="H510" t="s">
        <v>76</v>
      </c>
      <c r="I510">
        <v>5</v>
      </c>
      <c r="J510" s="11">
        <v>611977</v>
      </c>
      <c r="K510" s="11">
        <v>15000</v>
      </c>
      <c r="L510" t="s">
        <v>35</v>
      </c>
      <c r="M510" t="s">
        <v>71</v>
      </c>
      <c r="N510" t="s">
        <v>37</v>
      </c>
    </row>
    <row r="511" spans="1:15" x14ac:dyDescent="0.25">
      <c r="A511" t="s">
        <v>953</v>
      </c>
      <c r="B511" t="s">
        <v>595</v>
      </c>
      <c r="C511" t="s">
        <v>107</v>
      </c>
      <c r="D511" s="6">
        <v>46043</v>
      </c>
      <c r="E511" t="s">
        <v>53</v>
      </c>
      <c r="F511" t="s">
        <v>59</v>
      </c>
      <c r="G511" t="s">
        <v>60</v>
      </c>
      <c r="H511" t="s">
        <v>66</v>
      </c>
      <c r="I511">
        <v>6</v>
      </c>
      <c r="J511" s="11">
        <v>1017158</v>
      </c>
      <c r="K511" s="11">
        <v>15000</v>
      </c>
      <c r="L511" t="s">
        <v>48</v>
      </c>
      <c r="M511" t="s">
        <v>49</v>
      </c>
      <c r="N511" t="s">
        <v>61</v>
      </c>
    </row>
    <row r="512" spans="1:15" x14ac:dyDescent="0.25">
      <c r="A512" t="s">
        <v>954</v>
      </c>
      <c r="B512" t="s">
        <v>955</v>
      </c>
      <c r="C512" t="s">
        <v>64</v>
      </c>
      <c r="D512" s="6">
        <v>46134</v>
      </c>
      <c r="E512" t="s">
        <v>80</v>
      </c>
      <c r="F512" t="s">
        <v>59</v>
      </c>
      <c r="G512" t="s">
        <v>85</v>
      </c>
      <c r="H512" t="s">
        <v>76</v>
      </c>
      <c r="I512">
        <v>1</v>
      </c>
      <c r="J512" s="11">
        <v>1580374</v>
      </c>
      <c r="K512" s="11">
        <v>15000</v>
      </c>
      <c r="L512" t="s">
        <v>48</v>
      </c>
      <c r="M512" t="s">
        <v>49</v>
      </c>
      <c r="N512" t="s">
        <v>61</v>
      </c>
    </row>
    <row r="513" spans="1:15" hidden="1" x14ac:dyDescent="0.25">
      <c r="A513" t="s">
        <v>956</v>
      </c>
      <c r="B513" t="s">
        <v>290</v>
      </c>
      <c r="C513" t="s">
        <v>104</v>
      </c>
      <c r="D513" s="6">
        <v>46118</v>
      </c>
      <c r="E513" t="s">
        <v>58</v>
      </c>
      <c r="F513" t="s">
        <v>32</v>
      </c>
      <c r="G513" t="s">
        <v>33</v>
      </c>
      <c r="H513" t="s">
        <v>54</v>
      </c>
      <c r="I513">
        <v>2</v>
      </c>
      <c r="J513" s="11">
        <v>870803</v>
      </c>
      <c r="K513" s="11">
        <v>0</v>
      </c>
      <c r="L513" t="s">
        <v>35</v>
      </c>
      <c r="M513" t="s">
        <v>36</v>
      </c>
      <c r="N513" t="s">
        <v>37</v>
      </c>
      <c r="O513" t="s">
        <v>1377</v>
      </c>
    </row>
    <row r="514" spans="1:15" hidden="1" x14ac:dyDescent="0.25">
      <c r="A514" t="s">
        <v>957</v>
      </c>
      <c r="B514" t="s">
        <v>688</v>
      </c>
      <c r="C514" t="s">
        <v>689</v>
      </c>
      <c r="D514" s="6">
        <v>46176</v>
      </c>
      <c r="E514" t="s">
        <v>41</v>
      </c>
      <c r="F514" t="s">
        <v>59</v>
      </c>
      <c r="G514" t="s">
        <v>81</v>
      </c>
      <c r="H514" t="s">
        <v>66</v>
      </c>
      <c r="I514">
        <v>5</v>
      </c>
      <c r="J514" s="11">
        <v>2228868</v>
      </c>
      <c r="K514" s="11">
        <v>0</v>
      </c>
      <c r="L514" t="s">
        <v>35</v>
      </c>
      <c r="M514" t="s">
        <v>36</v>
      </c>
      <c r="N514" t="s">
        <v>37</v>
      </c>
      <c r="O514" t="s">
        <v>1377</v>
      </c>
    </row>
    <row r="515" spans="1:15" x14ac:dyDescent="0.25">
      <c r="A515" t="s">
        <v>959</v>
      </c>
      <c r="B515" t="s">
        <v>943</v>
      </c>
      <c r="C515" t="s">
        <v>165</v>
      </c>
      <c r="D515" s="6">
        <v>46037</v>
      </c>
      <c r="E515" t="s">
        <v>41</v>
      </c>
      <c r="F515" t="s">
        <v>65</v>
      </c>
      <c r="G515" t="s">
        <v>81</v>
      </c>
      <c r="H515" t="s">
        <v>66</v>
      </c>
      <c r="I515">
        <v>5</v>
      </c>
      <c r="J515" s="11">
        <v>247617</v>
      </c>
      <c r="K515" s="11">
        <v>35000</v>
      </c>
      <c r="L515" t="s">
        <v>35</v>
      </c>
      <c r="M515" t="s">
        <v>36</v>
      </c>
      <c r="N515" t="s">
        <v>61</v>
      </c>
    </row>
    <row r="516" spans="1:15" hidden="1" x14ac:dyDescent="0.25">
      <c r="A516" t="s">
        <v>960</v>
      </c>
      <c r="B516" t="s">
        <v>961</v>
      </c>
      <c r="C516" t="s">
        <v>636</v>
      </c>
      <c r="D516" s="6">
        <v>46062</v>
      </c>
      <c r="E516" t="s">
        <v>58</v>
      </c>
      <c r="F516" t="s">
        <v>59</v>
      </c>
      <c r="G516" t="s">
        <v>75</v>
      </c>
      <c r="H516" t="s">
        <v>54</v>
      </c>
      <c r="I516">
        <v>1</v>
      </c>
      <c r="J516" s="11">
        <v>862004</v>
      </c>
      <c r="K516" s="11">
        <v>15000</v>
      </c>
      <c r="L516" t="s">
        <v>35</v>
      </c>
      <c r="M516" t="s">
        <v>71</v>
      </c>
      <c r="N516" t="s">
        <v>37</v>
      </c>
    </row>
    <row r="517" spans="1:15" x14ac:dyDescent="0.25">
      <c r="A517" t="s">
        <v>962</v>
      </c>
      <c r="B517" t="s">
        <v>932</v>
      </c>
      <c r="C517" t="s">
        <v>727</v>
      </c>
      <c r="D517" s="6">
        <v>46162</v>
      </c>
      <c r="E517" t="s">
        <v>80</v>
      </c>
      <c r="F517" t="s">
        <v>42</v>
      </c>
      <c r="G517" t="s">
        <v>46</v>
      </c>
      <c r="H517" t="s">
        <v>66</v>
      </c>
      <c r="I517">
        <v>6</v>
      </c>
      <c r="J517" s="11">
        <v>1283827</v>
      </c>
      <c r="K517" s="11">
        <v>15000</v>
      </c>
      <c r="L517" t="s">
        <v>35</v>
      </c>
      <c r="M517" t="s">
        <v>67</v>
      </c>
      <c r="N517" t="s">
        <v>61</v>
      </c>
    </row>
    <row r="518" spans="1:15" hidden="1" x14ac:dyDescent="0.25">
      <c r="A518" t="s">
        <v>965</v>
      </c>
      <c r="B518" t="s">
        <v>396</v>
      </c>
      <c r="C518" t="s">
        <v>241</v>
      </c>
      <c r="D518" s="6">
        <v>46126</v>
      </c>
      <c r="E518" t="s">
        <v>31</v>
      </c>
      <c r="F518" t="s">
        <v>32</v>
      </c>
      <c r="G518" t="s">
        <v>81</v>
      </c>
      <c r="H518" t="s">
        <v>34</v>
      </c>
      <c r="I518">
        <v>1</v>
      </c>
      <c r="J518" s="11">
        <v>1866418</v>
      </c>
      <c r="K518" s="11">
        <v>0</v>
      </c>
      <c r="L518" t="s">
        <v>35</v>
      </c>
      <c r="M518" t="s">
        <v>36</v>
      </c>
      <c r="N518" t="s">
        <v>37</v>
      </c>
      <c r="O518" t="s">
        <v>1377</v>
      </c>
    </row>
    <row r="519" spans="1:15" hidden="1" x14ac:dyDescent="0.25">
      <c r="A519" t="s">
        <v>966</v>
      </c>
      <c r="B519" t="s">
        <v>56</v>
      </c>
      <c r="C519" t="s">
        <v>57</v>
      </c>
      <c r="D519" s="6">
        <v>46093</v>
      </c>
      <c r="E519" t="s">
        <v>58</v>
      </c>
      <c r="F519" t="s">
        <v>32</v>
      </c>
      <c r="G519" t="s">
        <v>33</v>
      </c>
      <c r="H519" t="s">
        <v>76</v>
      </c>
      <c r="I519">
        <v>4</v>
      </c>
      <c r="J519" s="11">
        <v>953338</v>
      </c>
      <c r="K519" s="11">
        <v>50000</v>
      </c>
      <c r="L519" t="s">
        <v>35</v>
      </c>
      <c r="M519" t="s">
        <v>36</v>
      </c>
      <c r="N519" t="s">
        <v>37</v>
      </c>
    </row>
    <row r="520" spans="1:15" x14ac:dyDescent="0.25">
      <c r="A520" t="s">
        <v>967</v>
      </c>
      <c r="B520" t="s">
        <v>146</v>
      </c>
      <c r="C520" t="s">
        <v>40</v>
      </c>
      <c r="D520" s="6">
        <v>46110</v>
      </c>
      <c r="E520" t="s">
        <v>41</v>
      </c>
      <c r="F520" t="s">
        <v>65</v>
      </c>
      <c r="G520" t="s">
        <v>81</v>
      </c>
      <c r="H520" t="s">
        <v>54</v>
      </c>
      <c r="I520">
        <v>7</v>
      </c>
      <c r="J520" s="11">
        <v>2075603</v>
      </c>
      <c r="K520" s="11">
        <v>50000</v>
      </c>
      <c r="L520" t="s">
        <v>35</v>
      </c>
      <c r="M520" t="s">
        <v>36</v>
      </c>
      <c r="N520" t="s">
        <v>61</v>
      </c>
    </row>
    <row r="521" spans="1:15" hidden="1" x14ac:dyDescent="0.25">
      <c r="A521" t="s">
        <v>968</v>
      </c>
      <c r="B521" t="s">
        <v>132</v>
      </c>
      <c r="C521" t="s">
        <v>133</v>
      </c>
      <c r="D521" s="6">
        <v>46045</v>
      </c>
      <c r="E521" t="s">
        <v>31</v>
      </c>
      <c r="F521" t="s">
        <v>65</v>
      </c>
      <c r="G521" t="s">
        <v>85</v>
      </c>
      <c r="H521" t="s">
        <v>66</v>
      </c>
      <c r="I521">
        <v>5</v>
      </c>
      <c r="J521" s="11">
        <v>898709</v>
      </c>
      <c r="K521" s="11">
        <v>25000</v>
      </c>
      <c r="L521" t="s">
        <v>35</v>
      </c>
      <c r="M521" t="s">
        <v>67</v>
      </c>
      <c r="N521" t="s">
        <v>37</v>
      </c>
    </row>
    <row r="522" spans="1:15" x14ac:dyDescent="0.25">
      <c r="A522" t="s">
        <v>969</v>
      </c>
      <c r="B522" t="s">
        <v>702</v>
      </c>
      <c r="C522" t="s">
        <v>101</v>
      </c>
      <c r="D522" s="6">
        <v>46086</v>
      </c>
      <c r="E522" t="s">
        <v>58</v>
      </c>
      <c r="F522" t="s">
        <v>59</v>
      </c>
      <c r="G522" t="s">
        <v>75</v>
      </c>
      <c r="H522" t="s">
        <v>66</v>
      </c>
      <c r="I522">
        <v>6</v>
      </c>
      <c r="J522" s="11">
        <v>1410932</v>
      </c>
      <c r="K522" s="11">
        <v>15000</v>
      </c>
      <c r="L522" t="s">
        <v>35</v>
      </c>
      <c r="M522" t="s">
        <v>67</v>
      </c>
      <c r="N522" t="s">
        <v>61</v>
      </c>
    </row>
    <row r="523" spans="1:15" hidden="1" x14ac:dyDescent="0.25">
      <c r="A523" t="s">
        <v>970</v>
      </c>
      <c r="B523" t="s">
        <v>51</v>
      </c>
      <c r="C523" t="s">
        <v>52</v>
      </c>
      <c r="D523" s="6">
        <v>46058</v>
      </c>
      <c r="E523" t="s">
        <v>31</v>
      </c>
      <c r="F523" t="s">
        <v>42</v>
      </c>
      <c r="G523" t="s">
        <v>33</v>
      </c>
      <c r="H523" t="s">
        <v>66</v>
      </c>
      <c r="I523">
        <v>4</v>
      </c>
      <c r="J523" s="11">
        <v>2489949</v>
      </c>
      <c r="K523" s="11">
        <v>25000</v>
      </c>
      <c r="L523" t="s">
        <v>35</v>
      </c>
      <c r="M523" t="s">
        <v>67</v>
      </c>
      <c r="N523" t="s">
        <v>37</v>
      </c>
    </row>
    <row r="524" spans="1:15" x14ac:dyDescent="0.25">
      <c r="A524" t="s">
        <v>971</v>
      </c>
      <c r="B524" t="s">
        <v>143</v>
      </c>
      <c r="C524" t="s">
        <v>144</v>
      </c>
      <c r="D524" s="6">
        <v>46046</v>
      </c>
      <c r="E524" t="s">
        <v>53</v>
      </c>
      <c r="F524" t="s">
        <v>59</v>
      </c>
      <c r="G524" t="s">
        <v>75</v>
      </c>
      <c r="H524" t="s">
        <v>34</v>
      </c>
      <c r="I524">
        <v>5</v>
      </c>
      <c r="J524" s="11">
        <v>2174729</v>
      </c>
      <c r="K524" s="11">
        <v>25000</v>
      </c>
      <c r="L524" t="s">
        <v>35</v>
      </c>
      <c r="M524" t="s">
        <v>71</v>
      </c>
      <c r="N524" t="s">
        <v>61</v>
      </c>
    </row>
    <row r="525" spans="1:15" x14ac:dyDescent="0.25">
      <c r="A525" t="s">
        <v>972</v>
      </c>
      <c r="B525" t="s">
        <v>187</v>
      </c>
      <c r="C525" t="s">
        <v>88</v>
      </c>
      <c r="D525" s="6">
        <v>46172</v>
      </c>
      <c r="E525" t="s">
        <v>41</v>
      </c>
      <c r="F525" t="s">
        <v>32</v>
      </c>
      <c r="G525" t="s">
        <v>75</v>
      </c>
      <c r="H525" t="s">
        <v>66</v>
      </c>
      <c r="I525">
        <v>5</v>
      </c>
      <c r="J525" s="11">
        <v>1737662</v>
      </c>
      <c r="K525" s="11">
        <v>15000</v>
      </c>
      <c r="L525" t="s">
        <v>35</v>
      </c>
      <c r="M525" t="s">
        <v>49</v>
      </c>
      <c r="N525" t="s">
        <v>61</v>
      </c>
    </row>
    <row r="526" spans="1:15" hidden="1" x14ac:dyDescent="0.25">
      <c r="A526" t="s">
        <v>974</v>
      </c>
      <c r="B526" t="s">
        <v>341</v>
      </c>
      <c r="C526" t="s">
        <v>342</v>
      </c>
      <c r="D526" s="6">
        <v>46202</v>
      </c>
      <c r="E526" t="s">
        <v>53</v>
      </c>
      <c r="F526" t="s">
        <v>42</v>
      </c>
      <c r="G526" t="s">
        <v>33</v>
      </c>
      <c r="H526" t="s">
        <v>34</v>
      </c>
      <c r="I526">
        <v>7</v>
      </c>
      <c r="J526" s="11">
        <v>2232944</v>
      </c>
      <c r="K526" s="11">
        <v>50000</v>
      </c>
      <c r="L526" t="s">
        <v>35</v>
      </c>
      <c r="M526" t="s">
        <v>67</v>
      </c>
      <c r="N526" t="s">
        <v>37</v>
      </c>
    </row>
    <row r="527" spans="1:15" hidden="1" x14ac:dyDescent="0.25">
      <c r="A527" t="s">
        <v>975</v>
      </c>
      <c r="B527" t="s">
        <v>921</v>
      </c>
      <c r="C527" t="s">
        <v>200</v>
      </c>
      <c r="D527" s="6">
        <v>46031</v>
      </c>
      <c r="E527" t="s">
        <v>41</v>
      </c>
      <c r="F527" t="s">
        <v>32</v>
      </c>
      <c r="G527" t="s">
        <v>33</v>
      </c>
      <c r="H527" t="s">
        <v>76</v>
      </c>
      <c r="I527">
        <v>6</v>
      </c>
      <c r="J527" s="11">
        <v>603595</v>
      </c>
      <c r="K527" s="11">
        <v>50000</v>
      </c>
      <c r="L527" t="s">
        <v>35</v>
      </c>
      <c r="M527" t="s">
        <v>36</v>
      </c>
      <c r="N527" t="s">
        <v>37</v>
      </c>
    </row>
    <row r="528" spans="1:15" hidden="1" x14ac:dyDescent="0.25">
      <c r="A528" t="s">
        <v>977</v>
      </c>
      <c r="B528" t="s">
        <v>446</v>
      </c>
      <c r="C528" t="s">
        <v>98</v>
      </c>
      <c r="D528" s="6">
        <v>46173</v>
      </c>
      <c r="E528" t="s">
        <v>58</v>
      </c>
      <c r="F528" t="s">
        <v>42</v>
      </c>
      <c r="G528" t="s">
        <v>60</v>
      </c>
      <c r="H528" t="s">
        <v>47</v>
      </c>
      <c r="I528">
        <v>6</v>
      </c>
      <c r="J528" s="11">
        <v>261976</v>
      </c>
      <c r="K528" s="11">
        <v>25000</v>
      </c>
      <c r="L528" t="s">
        <v>35</v>
      </c>
      <c r="M528" t="s">
        <v>36</v>
      </c>
      <c r="N528" t="s">
        <v>37</v>
      </c>
    </row>
    <row r="529" spans="1:15" hidden="1" x14ac:dyDescent="0.25">
      <c r="A529" t="s">
        <v>979</v>
      </c>
      <c r="B529" t="s">
        <v>858</v>
      </c>
      <c r="C529" t="s">
        <v>64</v>
      </c>
      <c r="D529" s="6">
        <v>46188</v>
      </c>
      <c r="E529" t="s">
        <v>31</v>
      </c>
      <c r="F529" t="s">
        <v>65</v>
      </c>
      <c r="G529" t="s">
        <v>60</v>
      </c>
      <c r="H529" t="s">
        <v>76</v>
      </c>
      <c r="I529">
        <v>3</v>
      </c>
      <c r="J529" s="11">
        <v>540301</v>
      </c>
      <c r="K529" s="11">
        <v>15000</v>
      </c>
      <c r="L529" t="s">
        <v>35</v>
      </c>
      <c r="N529" t="s">
        <v>37</v>
      </c>
      <c r="O529" t="s">
        <v>1379</v>
      </c>
    </row>
    <row r="530" spans="1:15" hidden="1" x14ac:dyDescent="0.25">
      <c r="A530" t="s">
        <v>980</v>
      </c>
      <c r="B530" t="s">
        <v>223</v>
      </c>
      <c r="C530" t="s">
        <v>224</v>
      </c>
      <c r="D530" s="6">
        <v>46170</v>
      </c>
      <c r="E530" t="s">
        <v>80</v>
      </c>
      <c r="F530" t="s">
        <v>59</v>
      </c>
      <c r="G530" t="s">
        <v>75</v>
      </c>
      <c r="H530" t="s">
        <v>47</v>
      </c>
      <c r="I530">
        <v>4</v>
      </c>
      <c r="J530" s="11"/>
      <c r="K530" s="11">
        <v>35000</v>
      </c>
      <c r="L530" t="s">
        <v>48</v>
      </c>
      <c r="M530" t="s">
        <v>71</v>
      </c>
      <c r="N530" t="s">
        <v>37</v>
      </c>
      <c r="O530" t="s">
        <v>1374</v>
      </c>
    </row>
    <row r="531" spans="1:15" x14ac:dyDescent="0.25">
      <c r="A531" t="s">
        <v>982</v>
      </c>
      <c r="B531" t="s">
        <v>327</v>
      </c>
      <c r="C531" t="s">
        <v>328</v>
      </c>
      <c r="D531" s="6">
        <v>46082</v>
      </c>
      <c r="E531" t="s">
        <v>53</v>
      </c>
      <c r="F531" t="s">
        <v>59</v>
      </c>
      <c r="G531" t="s">
        <v>46</v>
      </c>
      <c r="H531" t="s">
        <v>54</v>
      </c>
      <c r="I531">
        <v>4</v>
      </c>
      <c r="J531" s="11">
        <v>2246347</v>
      </c>
      <c r="K531" s="11">
        <v>0</v>
      </c>
      <c r="L531" t="s">
        <v>35</v>
      </c>
      <c r="M531" t="s">
        <v>67</v>
      </c>
      <c r="N531" t="s">
        <v>61</v>
      </c>
      <c r="O531" t="s">
        <v>1377</v>
      </c>
    </row>
    <row r="532" spans="1:15" x14ac:dyDescent="0.25">
      <c r="A532" t="s">
        <v>983</v>
      </c>
      <c r="B532" t="s">
        <v>492</v>
      </c>
      <c r="C532" t="s">
        <v>165</v>
      </c>
      <c r="D532" s="6">
        <v>46065</v>
      </c>
      <c r="E532" t="s">
        <v>53</v>
      </c>
      <c r="F532" t="s">
        <v>42</v>
      </c>
      <c r="G532" t="s">
        <v>85</v>
      </c>
      <c r="H532" t="s">
        <v>66</v>
      </c>
      <c r="I532">
        <v>6</v>
      </c>
      <c r="J532" s="11">
        <v>1380735</v>
      </c>
      <c r="K532" s="11">
        <v>50000</v>
      </c>
      <c r="L532" t="s">
        <v>245</v>
      </c>
      <c r="M532" t="s">
        <v>67</v>
      </c>
      <c r="N532" t="s">
        <v>61</v>
      </c>
    </row>
    <row r="533" spans="1:15" hidden="1" x14ac:dyDescent="0.25">
      <c r="A533" t="s">
        <v>984</v>
      </c>
      <c r="B533" t="s">
        <v>651</v>
      </c>
      <c r="C533" t="s">
        <v>70</v>
      </c>
      <c r="D533" s="6">
        <v>46102</v>
      </c>
      <c r="E533" t="s">
        <v>31</v>
      </c>
      <c r="F533" t="s">
        <v>42</v>
      </c>
      <c r="G533" t="s">
        <v>85</v>
      </c>
      <c r="H533" t="s">
        <v>66</v>
      </c>
      <c r="I533">
        <v>4</v>
      </c>
      <c r="J533" s="11">
        <v>713330</v>
      </c>
      <c r="K533" s="11">
        <v>25000</v>
      </c>
      <c r="L533" t="s">
        <v>35</v>
      </c>
      <c r="M533" t="s">
        <v>36</v>
      </c>
      <c r="N533" t="s">
        <v>37</v>
      </c>
    </row>
    <row r="534" spans="1:15" x14ac:dyDescent="0.25">
      <c r="A534" t="s">
        <v>985</v>
      </c>
      <c r="B534" t="s">
        <v>702</v>
      </c>
      <c r="C534" t="s">
        <v>101</v>
      </c>
      <c r="D534" s="6">
        <v>46070</v>
      </c>
      <c r="E534" t="s">
        <v>53</v>
      </c>
      <c r="F534" t="s">
        <v>32</v>
      </c>
      <c r="G534" t="s">
        <v>81</v>
      </c>
      <c r="H534" t="s">
        <v>47</v>
      </c>
      <c r="I534">
        <v>4</v>
      </c>
      <c r="J534" s="11">
        <v>1110625</v>
      </c>
      <c r="K534" s="11">
        <v>15000</v>
      </c>
      <c r="L534" t="s">
        <v>35</v>
      </c>
      <c r="M534" t="s">
        <v>67</v>
      </c>
      <c r="N534" t="s">
        <v>61</v>
      </c>
    </row>
    <row r="535" spans="1:15" x14ac:dyDescent="0.25">
      <c r="A535" t="s">
        <v>986</v>
      </c>
      <c r="B535" t="s">
        <v>987</v>
      </c>
      <c r="C535" t="s">
        <v>229</v>
      </c>
      <c r="D535" s="6">
        <v>46048</v>
      </c>
      <c r="E535" t="s">
        <v>41</v>
      </c>
      <c r="F535" t="s">
        <v>59</v>
      </c>
      <c r="G535" t="s">
        <v>60</v>
      </c>
      <c r="H535" t="s">
        <v>34</v>
      </c>
      <c r="I535">
        <v>6</v>
      </c>
      <c r="J535" s="11">
        <v>2094681</v>
      </c>
      <c r="K535" s="11">
        <v>50000</v>
      </c>
      <c r="L535" t="s">
        <v>35</v>
      </c>
      <c r="M535" t="s">
        <v>67</v>
      </c>
      <c r="N535" t="s">
        <v>61</v>
      </c>
    </row>
    <row r="536" spans="1:15" hidden="1" x14ac:dyDescent="0.25">
      <c r="A536" t="s">
        <v>988</v>
      </c>
      <c r="B536" t="s">
        <v>438</v>
      </c>
      <c r="C536" t="s">
        <v>244</v>
      </c>
      <c r="D536" s="6">
        <v>46055</v>
      </c>
      <c r="E536" t="s">
        <v>41</v>
      </c>
      <c r="F536" t="s">
        <v>59</v>
      </c>
      <c r="G536" t="s">
        <v>46</v>
      </c>
      <c r="H536" t="s">
        <v>54</v>
      </c>
      <c r="I536">
        <v>4</v>
      </c>
      <c r="J536" s="11">
        <v>1455284</v>
      </c>
      <c r="K536" s="11">
        <v>15000</v>
      </c>
      <c r="L536" t="s">
        <v>35</v>
      </c>
      <c r="M536" t="s">
        <v>71</v>
      </c>
      <c r="N536" t="s">
        <v>37</v>
      </c>
    </row>
    <row r="537" spans="1:15" hidden="1" x14ac:dyDescent="0.25">
      <c r="A537" t="s">
        <v>989</v>
      </c>
      <c r="B537" t="s">
        <v>807</v>
      </c>
      <c r="C537" t="s">
        <v>219</v>
      </c>
      <c r="D537" s="6">
        <v>46194</v>
      </c>
      <c r="E537" t="s">
        <v>80</v>
      </c>
      <c r="F537" t="s">
        <v>32</v>
      </c>
      <c r="G537" t="s">
        <v>46</v>
      </c>
      <c r="H537" t="s">
        <v>54</v>
      </c>
      <c r="I537">
        <v>5</v>
      </c>
      <c r="J537" s="11">
        <v>232811</v>
      </c>
      <c r="K537" s="11">
        <v>15000</v>
      </c>
      <c r="L537" t="s">
        <v>35</v>
      </c>
      <c r="M537" t="s">
        <v>67</v>
      </c>
      <c r="N537" t="s">
        <v>37</v>
      </c>
    </row>
    <row r="538" spans="1:15" x14ac:dyDescent="0.25">
      <c r="A538" t="s">
        <v>990</v>
      </c>
      <c r="B538" t="s">
        <v>688</v>
      </c>
      <c r="C538" t="s">
        <v>689</v>
      </c>
      <c r="D538" s="6">
        <v>46042</v>
      </c>
      <c r="E538" t="s">
        <v>41</v>
      </c>
      <c r="F538" t="s">
        <v>65</v>
      </c>
      <c r="G538" t="s">
        <v>33</v>
      </c>
      <c r="H538" t="s">
        <v>47</v>
      </c>
      <c r="I538">
        <v>4</v>
      </c>
      <c r="J538" s="11">
        <v>1084998</v>
      </c>
      <c r="K538" s="11">
        <v>15000</v>
      </c>
      <c r="L538" t="s">
        <v>35</v>
      </c>
      <c r="M538" t="s">
        <v>67</v>
      </c>
      <c r="N538" t="s">
        <v>61</v>
      </c>
    </row>
    <row r="539" spans="1:15" hidden="1" x14ac:dyDescent="0.25">
      <c r="A539" t="s">
        <v>992</v>
      </c>
      <c r="B539" t="s">
        <v>169</v>
      </c>
      <c r="C539" t="s">
        <v>170</v>
      </c>
      <c r="D539" s="6">
        <v>46061</v>
      </c>
      <c r="E539" t="s">
        <v>80</v>
      </c>
      <c r="F539" t="s">
        <v>59</v>
      </c>
      <c r="G539" t="s">
        <v>85</v>
      </c>
      <c r="H539" t="s">
        <v>34</v>
      </c>
      <c r="I539">
        <v>4</v>
      </c>
      <c r="J539" s="11">
        <v>1315226</v>
      </c>
      <c r="K539" s="11">
        <v>25000</v>
      </c>
      <c r="L539" t="s">
        <v>35</v>
      </c>
      <c r="M539" t="s">
        <v>36</v>
      </c>
      <c r="N539" t="s">
        <v>37</v>
      </c>
    </row>
    <row r="540" spans="1:15" hidden="1" x14ac:dyDescent="0.25">
      <c r="A540" t="s">
        <v>993</v>
      </c>
      <c r="B540" t="s">
        <v>441</v>
      </c>
      <c r="C540" t="s">
        <v>442</v>
      </c>
      <c r="D540" s="6">
        <v>46155</v>
      </c>
      <c r="E540" t="s">
        <v>58</v>
      </c>
      <c r="F540" t="s">
        <v>59</v>
      </c>
      <c r="G540" t="s">
        <v>81</v>
      </c>
      <c r="H540" t="s">
        <v>34</v>
      </c>
      <c r="I540">
        <v>7</v>
      </c>
      <c r="J540" s="11">
        <v>566402</v>
      </c>
      <c r="K540" s="11">
        <v>35000</v>
      </c>
      <c r="L540" t="s">
        <v>35</v>
      </c>
      <c r="M540" t="s">
        <v>36</v>
      </c>
      <c r="N540" t="s">
        <v>37</v>
      </c>
    </row>
    <row r="541" spans="1:15" hidden="1" x14ac:dyDescent="0.25">
      <c r="A541" t="s">
        <v>994</v>
      </c>
      <c r="B541" t="s">
        <v>39</v>
      </c>
      <c r="C541" t="s">
        <v>40</v>
      </c>
      <c r="D541" s="6">
        <v>46170</v>
      </c>
      <c r="E541" t="s">
        <v>41</v>
      </c>
      <c r="F541" t="s">
        <v>59</v>
      </c>
      <c r="G541" t="s">
        <v>81</v>
      </c>
      <c r="H541" t="s">
        <v>66</v>
      </c>
      <c r="I541">
        <v>6</v>
      </c>
      <c r="J541" s="11">
        <v>2246388</v>
      </c>
      <c r="K541" s="11">
        <v>35000</v>
      </c>
      <c r="L541" t="s">
        <v>35</v>
      </c>
      <c r="M541" t="s">
        <v>36</v>
      </c>
      <c r="N541" t="s">
        <v>37</v>
      </c>
    </row>
    <row r="542" spans="1:15" x14ac:dyDescent="0.25">
      <c r="A542" t="s">
        <v>995</v>
      </c>
      <c r="B542" t="s">
        <v>921</v>
      </c>
      <c r="C542" t="s">
        <v>200</v>
      </c>
      <c r="D542" s="6">
        <v>46185</v>
      </c>
      <c r="E542" t="s">
        <v>41</v>
      </c>
      <c r="F542" t="s">
        <v>32</v>
      </c>
      <c r="G542" t="s">
        <v>46</v>
      </c>
      <c r="H542" t="s">
        <v>66</v>
      </c>
      <c r="I542">
        <v>7</v>
      </c>
      <c r="J542" s="11">
        <v>606364</v>
      </c>
      <c r="K542" s="11">
        <v>50000</v>
      </c>
      <c r="L542" t="s">
        <v>48</v>
      </c>
      <c r="M542" t="s">
        <v>71</v>
      </c>
      <c r="N542" t="s">
        <v>61</v>
      </c>
    </row>
    <row r="543" spans="1:15" hidden="1" x14ac:dyDescent="0.25">
      <c r="A543" t="s">
        <v>996</v>
      </c>
      <c r="B543" t="s">
        <v>78</v>
      </c>
      <c r="C543" t="s">
        <v>79</v>
      </c>
      <c r="D543" s="6">
        <v>46068</v>
      </c>
      <c r="E543" t="s">
        <v>31</v>
      </c>
      <c r="F543" t="s">
        <v>65</v>
      </c>
      <c r="G543" t="s">
        <v>33</v>
      </c>
      <c r="H543" t="s">
        <v>76</v>
      </c>
      <c r="I543">
        <v>7</v>
      </c>
      <c r="J543" s="11">
        <v>1898658</v>
      </c>
      <c r="K543" s="11">
        <v>50000</v>
      </c>
      <c r="L543" t="s">
        <v>35</v>
      </c>
      <c r="M543" t="s">
        <v>36</v>
      </c>
      <c r="N543" t="s">
        <v>37</v>
      </c>
    </row>
    <row r="544" spans="1:15" hidden="1" x14ac:dyDescent="0.25">
      <c r="A544" t="s">
        <v>997</v>
      </c>
      <c r="B544" t="s">
        <v>770</v>
      </c>
      <c r="C544" t="s">
        <v>101</v>
      </c>
      <c r="D544" s="6">
        <v>46154</v>
      </c>
      <c r="E544" t="s">
        <v>41</v>
      </c>
      <c r="F544" t="s">
        <v>59</v>
      </c>
      <c r="G544" t="s">
        <v>33</v>
      </c>
      <c r="H544" t="s">
        <v>54</v>
      </c>
      <c r="I544">
        <v>1</v>
      </c>
      <c r="J544" s="11">
        <v>2028363</v>
      </c>
      <c r="K544" s="11">
        <v>35000</v>
      </c>
      <c r="L544" t="s">
        <v>35</v>
      </c>
      <c r="M544" t="s">
        <v>67</v>
      </c>
      <c r="N544" t="s">
        <v>37</v>
      </c>
    </row>
    <row r="545" spans="1:15" hidden="1" x14ac:dyDescent="0.25">
      <c r="A545" t="s">
        <v>998</v>
      </c>
      <c r="B545" t="s">
        <v>999</v>
      </c>
      <c r="C545" t="s">
        <v>129</v>
      </c>
      <c r="D545" s="6">
        <v>46131</v>
      </c>
      <c r="E545" t="s">
        <v>80</v>
      </c>
      <c r="F545" t="s">
        <v>59</v>
      </c>
      <c r="G545" t="s">
        <v>81</v>
      </c>
      <c r="H545" t="s">
        <v>47</v>
      </c>
      <c r="I545">
        <v>7</v>
      </c>
      <c r="J545" s="11">
        <v>1535417</v>
      </c>
      <c r="K545" s="11">
        <v>25000</v>
      </c>
      <c r="L545" t="s">
        <v>48</v>
      </c>
      <c r="M545" t="s">
        <v>36</v>
      </c>
      <c r="N545" t="s">
        <v>37</v>
      </c>
    </row>
    <row r="546" spans="1:15" x14ac:dyDescent="0.25">
      <c r="A546" t="s">
        <v>1000</v>
      </c>
      <c r="B546" t="s">
        <v>275</v>
      </c>
      <c r="C546" t="s">
        <v>276</v>
      </c>
      <c r="D546" s="6">
        <v>46185</v>
      </c>
      <c r="E546" t="s">
        <v>41</v>
      </c>
      <c r="F546" t="s">
        <v>42</v>
      </c>
      <c r="G546" t="s">
        <v>85</v>
      </c>
      <c r="H546" t="s">
        <v>54</v>
      </c>
      <c r="I546">
        <v>1</v>
      </c>
      <c r="J546" s="11">
        <v>269380</v>
      </c>
      <c r="K546" s="11">
        <v>50000</v>
      </c>
      <c r="L546" t="s">
        <v>35</v>
      </c>
      <c r="M546" t="s">
        <v>67</v>
      </c>
      <c r="N546" t="s">
        <v>61</v>
      </c>
    </row>
    <row r="547" spans="1:15" hidden="1" x14ac:dyDescent="0.25">
      <c r="A547" t="s">
        <v>1001</v>
      </c>
      <c r="B547" t="s">
        <v>39</v>
      </c>
      <c r="C547" t="s">
        <v>40</v>
      </c>
      <c r="D547" s="6">
        <v>46060</v>
      </c>
      <c r="E547" t="s">
        <v>53</v>
      </c>
      <c r="F547" t="s">
        <v>42</v>
      </c>
      <c r="G547" t="s">
        <v>75</v>
      </c>
      <c r="H547" t="s">
        <v>76</v>
      </c>
      <c r="I547">
        <v>3</v>
      </c>
      <c r="J547" s="11">
        <v>2189680</v>
      </c>
      <c r="K547" s="11">
        <v>35000</v>
      </c>
      <c r="L547" t="s">
        <v>35</v>
      </c>
      <c r="M547" t="s">
        <v>36</v>
      </c>
      <c r="N547" t="s">
        <v>37</v>
      </c>
    </row>
    <row r="548" spans="1:15" hidden="1" x14ac:dyDescent="0.25">
      <c r="A548" t="s">
        <v>1002</v>
      </c>
      <c r="B548" t="s">
        <v>327</v>
      </c>
      <c r="C548" t="s">
        <v>328</v>
      </c>
      <c r="D548" s="6">
        <v>46042</v>
      </c>
      <c r="E548" t="s">
        <v>58</v>
      </c>
      <c r="F548" t="s">
        <v>59</v>
      </c>
      <c r="G548" t="s">
        <v>46</v>
      </c>
      <c r="H548" t="s">
        <v>54</v>
      </c>
      <c r="I548">
        <v>1</v>
      </c>
      <c r="J548" s="11">
        <v>1489811</v>
      </c>
      <c r="K548" s="11">
        <v>25000</v>
      </c>
      <c r="L548" t="s">
        <v>35</v>
      </c>
      <c r="M548" t="s">
        <v>49</v>
      </c>
      <c r="N548" t="s">
        <v>37</v>
      </c>
    </row>
    <row r="549" spans="1:15" x14ac:dyDescent="0.25">
      <c r="A549" t="s">
        <v>1003</v>
      </c>
      <c r="B549" t="s">
        <v>29</v>
      </c>
      <c r="C549" t="s">
        <v>30</v>
      </c>
      <c r="D549" s="6">
        <v>46186</v>
      </c>
      <c r="E549" t="s">
        <v>80</v>
      </c>
      <c r="F549" t="s">
        <v>65</v>
      </c>
      <c r="G549" t="s">
        <v>60</v>
      </c>
      <c r="H549" t="s">
        <v>54</v>
      </c>
      <c r="I549">
        <v>4</v>
      </c>
      <c r="J549" s="11">
        <v>1386620</v>
      </c>
      <c r="K549" s="11">
        <v>35000</v>
      </c>
      <c r="L549" t="s">
        <v>35</v>
      </c>
      <c r="M549" t="s">
        <v>49</v>
      </c>
      <c r="N549" t="s">
        <v>61</v>
      </c>
    </row>
    <row r="550" spans="1:15" x14ac:dyDescent="0.25">
      <c r="A550" t="s">
        <v>1004</v>
      </c>
      <c r="B550" t="s">
        <v>665</v>
      </c>
      <c r="C550" t="s">
        <v>442</v>
      </c>
      <c r="D550" s="6">
        <v>46089</v>
      </c>
      <c r="E550" t="s">
        <v>58</v>
      </c>
      <c r="F550" t="s">
        <v>32</v>
      </c>
      <c r="G550" t="s">
        <v>46</v>
      </c>
      <c r="H550" t="s">
        <v>47</v>
      </c>
      <c r="I550">
        <v>5</v>
      </c>
      <c r="J550" s="11">
        <v>1391718</v>
      </c>
      <c r="K550" s="11">
        <v>50000</v>
      </c>
      <c r="L550" t="s">
        <v>35</v>
      </c>
      <c r="M550" t="s">
        <v>71</v>
      </c>
      <c r="N550" t="s">
        <v>61</v>
      </c>
    </row>
    <row r="551" spans="1:15" hidden="1" x14ac:dyDescent="0.25">
      <c r="A551" t="s">
        <v>1006</v>
      </c>
      <c r="B551" t="s">
        <v>210</v>
      </c>
      <c r="C551" t="s">
        <v>45</v>
      </c>
      <c r="D551" s="6">
        <v>46134</v>
      </c>
      <c r="E551" t="s">
        <v>41</v>
      </c>
      <c r="F551" t="s">
        <v>42</v>
      </c>
      <c r="G551" t="s">
        <v>75</v>
      </c>
      <c r="H551" t="s">
        <v>66</v>
      </c>
      <c r="I551">
        <v>3</v>
      </c>
      <c r="J551" s="11">
        <v>1272539</v>
      </c>
      <c r="K551" s="11">
        <v>15000</v>
      </c>
      <c r="L551" t="s">
        <v>35</v>
      </c>
      <c r="M551" t="s">
        <v>67</v>
      </c>
      <c r="N551" t="s">
        <v>37</v>
      </c>
    </row>
    <row r="552" spans="1:15" x14ac:dyDescent="0.25">
      <c r="A552" t="s">
        <v>1007</v>
      </c>
      <c r="B552" t="s">
        <v>116</v>
      </c>
      <c r="C552" t="s">
        <v>74</v>
      </c>
      <c r="D552" s="6">
        <v>46127</v>
      </c>
      <c r="E552" t="s">
        <v>80</v>
      </c>
      <c r="F552" t="s">
        <v>59</v>
      </c>
      <c r="G552" t="s">
        <v>46</v>
      </c>
      <c r="H552" t="s">
        <v>66</v>
      </c>
      <c r="I552">
        <v>7</v>
      </c>
      <c r="J552" s="11">
        <v>988792</v>
      </c>
      <c r="K552" s="11">
        <v>0</v>
      </c>
      <c r="L552" t="s">
        <v>35</v>
      </c>
      <c r="M552" t="s">
        <v>67</v>
      </c>
      <c r="N552" t="s">
        <v>61</v>
      </c>
      <c r="O552" t="s">
        <v>1377</v>
      </c>
    </row>
    <row r="553" spans="1:15" hidden="1" x14ac:dyDescent="0.25">
      <c r="A553" t="s">
        <v>1008</v>
      </c>
      <c r="B553" t="s">
        <v>528</v>
      </c>
      <c r="C553" t="s">
        <v>170</v>
      </c>
      <c r="D553" s="6">
        <v>46080</v>
      </c>
      <c r="E553" t="s">
        <v>53</v>
      </c>
      <c r="F553" t="s">
        <v>59</v>
      </c>
      <c r="G553" t="s">
        <v>46</v>
      </c>
      <c r="H553" t="s">
        <v>47</v>
      </c>
      <c r="I553">
        <v>2</v>
      </c>
      <c r="J553" s="11">
        <v>195803</v>
      </c>
      <c r="K553" s="11">
        <v>25000</v>
      </c>
      <c r="L553" t="s">
        <v>35</v>
      </c>
      <c r="M553" t="s">
        <v>67</v>
      </c>
      <c r="N553" t="s">
        <v>37</v>
      </c>
    </row>
    <row r="554" spans="1:15" x14ac:dyDescent="0.25">
      <c r="A554" t="s">
        <v>1009</v>
      </c>
      <c r="B554" t="s">
        <v>87</v>
      </c>
      <c r="C554" t="s">
        <v>88</v>
      </c>
      <c r="D554" s="6">
        <v>46122</v>
      </c>
      <c r="E554" t="s">
        <v>41</v>
      </c>
      <c r="F554" t="s">
        <v>42</v>
      </c>
      <c r="G554" t="s">
        <v>60</v>
      </c>
      <c r="H554" t="s">
        <v>47</v>
      </c>
      <c r="I554">
        <v>1</v>
      </c>
      <c r="J554" s="11">
        <v>2114823</v>
      </c>
      <c r="K554" s="11">
        <v>50000</v>
      </c>
      <c r="L554" t="s">
        <v>35</v>
      </c>
      <c r="M554" t="s">
        <v>67</v>
      </c>
      <c r="N554" t="s">
        <v>61</v>
      </c>
    </row>
    <row r="555" spans="1:15" hidden="1" x14ac:dyDescent="0.25">
      <c r="A555" t="s">
        <v>1010</v>
      </c>
      <c r="B555" t="s">
        <v>157</v>
      </c>
      <c r="C555" t="s">
        <v>158</v>
      </c>
      <c r="D555" s="6">
        <v>46201</v>
      </c>
      <c r="E555" t="s">
        <v>53</v>
      </c>
      <c r="F555" t="s">
        <v>65</v>
      </c>
      <c r="G555" t="s">
        <v>75</v>
      </c>
      <c r="H555" t="s">
        <v>47</v>
      </c>
      <c r="I555">
        <v>3</v>
      </c>
      <c r="J555" s="11">
        <v>833087</v>
      </c>
      <c r="K555" s="11">
        <v>35000</v>
      </c>
      <c r="L555" t="s">
        <v>35</v>
      </c>
      <c r="M555" t="s">
        <v>36</v>
      </c>
      <c r="N555" t="s">
        <v>37</v>
      </c>
    </row>
    <row r="556" spans="1:15" x14ac:dyDescent="0.25">
      <c r="A556" t="s">
        <v>1011</v>
      </c>
      <c r="B556" t="s">
        <v>379</v>
      </c>
      <c r="C556" t="s">
        <v>158</v>
      </c>
      <c r="D556" s="6">
        <v>46076</v>
      </c>
      <c r="E556" t="s">
        <v>41</v>
      </c>
      <c r="F556" t="s">
        <v>65</v>
      </c>
      <c r="G556" t="s">
        <v>85</v>
      </c>
      <c r="H556" t="s">
        <v>76</v>
      </c>
      <c r="I556">
        <v>3</v>
      </c>
      <c r="J556" s="11">
        <v>2341268</v>
      </c>
      <c r="K556" s="11">
        <v>25000</v>
      </c>
      <c r="L556" t="s">
        <v>35</v>
      </c>
      <c r="M556" t="s">
        <v>67</v>
      </c>
      <c r="N556" t="s">
        <v>61</v>
      </c>
    </row>
    <row r="557" spans="1:15" x14ac:dyDescent="0.25">
      <c r="A557" t="s">
        <v>1012</v>
      </c>
      <c r="B557" t="s">
        <v>1013</v>
      </c>
      <c r="C557" t="s">
        <v>30</v>
      </c>
      <c r="D557" s="6">
        <v>46113</v>
      </c>
      <c r="E557" t="s">
        <v>53</v>
      </c>
      <c r="F557" t="s">
        <v>59</v>
      </c>
      <c r="G557" t="s">
        <v>85</v>
      </c>
      <c r="H557" t="s">
        <v>47</v>
      </c>
      <c r="I557">
        <v>4</v>
      </c>
      <c r="J557" s="11">
        <v>2489330</v>
      </c>
      <c r="K557" s="11">
        <v>35000</v>
      </c>
      <c r="L557" t="s">
        <v>89</v>
      </c>
      <c r="M557" t="s">
        <v>49</v>
      </c>
      <c r="N557" t="s">
        <v>61</v>
      </c>
    </row>
    <row r="558" spans="1:15" hidden="1" x14ac:dyDescent="0.25">
      <c r="A558" t="s">
        <v>1014</v>
      </c>
      <c r="B558" t="s">
        <v>567</v>
      </c>
      <c r="C558" t="s">
        <v>198</v>
      </c>
      <c r="D558" s="6">
        <v>46178</v>
      </c>
      <c r="E558" t="s">
        <v>53</v>
      </c>
      <c r="F558" t="s">
        <v>32</v>
      </c>
      <c r="G558" t="s">
        <v>85</v>
      </c>
      <c r="H558" t="s">
        <v>34</v>
      </c>
      <c r="I558">
        <v>4</v>
      </c>
      <c r="J558" s="11">
        <v>637971</v>
      </c>
      <c r="K558" s="11">
        <v>0</v>
      </c>
      <c r="L558" t="s">
        <v>35</v>
      </c>
      <c r="M558" t="s">
        <v>49</v>
      </c>
      <c r="N558" t="s">
        <v>37</v>
      </c>
      <c r="O558" t="s">
        <v>1377</v>
      </c>
    </row>
    <row r="559" spans="1:15" hidden="1" x14ac:dyDescent="0.25">
      <c r="A559" t="s">
        <v>1015</v>
      </c>
      <c r="B559" t="s">
        <v>1016</v>
      </c>
      <c r="C559" t="s">
        <v>377</v>
      </c>
      <c r="D559" s="6">
        <v>46127</v>
      </c>
      <c r="E559" t="s">
        <v>80</v>
      </c>
      <c r="F559" t="s">
        <v>65</v>
      </c>
      <c r="G559" t="s">
        <v>75</v>
      </c>
      <c r="H559" t="s">
        <v>66</v>
      </c>
      <c r="I559">
        <v>4</v>
      </c>
      <c r="J559" s="11">
        <v>1596498</v>
      </c>
      <c r="K559" s="11">
        <v>15000</v>
      </c>
      <c r="L559" t="s">
        <v>245</v>
      </c>
      <c r="M559" t="s">
        <v>67</v>
      </c>
      <c r="N559" t="s">
        <v>37</v>
      </c>
    </row>
    <row r="560" spans="1:15" hidden="1" x14ac:dyDescent="0.25">
      <c r="A560" t="s">
        <v>1017</v>
      </c>
      <c r="B560" t="s">
        <v>685</v>
      </c>
      <c r="C560" t="s">
        <v>79</v>
      </c>
      <c r="D560" s="6">
        <v>46126</v>
      </c>
      <c r="E560" t="s">
        <v>31</v>
      </c>
      <c r="F560" t="s">
        <v>59</v>
      </c>
      <c r="G560" t="s">
        <v>33</v>
      </c>
      <c r="H560" t="s">
        <v>54</v>
      </c>
      <c r="I560">
        <v>3</v>
      </c>
      <c r="J560" s="11">
        <v>2195480</v>
      </c>
      <c r="K560" s="11">
        <v>35000</v>
      </c>
      <c r="L560" t="s">
        <v>48</v>
      </c>
      <c r="M560" t="s">
        <v>49</v>
      </c>
      <c r="N560" t="s">
        <v>37</v>
      </c>
    </row>
    <row r="561" spans="1:15" x14ac:dyDescent="0.25">
      <c r="A561" t="s">
        <v>1019</v>
      </c>
      <c r="B561" t="s">
        <v>1020</v>
      </c>
      <c r="C561" t="s">
        <v>377</v>
      </c>
      <c r="E561" t="s">
        <v>41</v>
      </c>
      <c r="F561" t="s">
        <v>59</v>
      </c>
      <c r="G561" t="s">
        <v>85</v>
      </c>
      <c r="H561" t="s">
        <v>54</v>
      </c>
      <c r="I561">
        <v>4</v>
      </c>
      <c r="J561" s="11">
        <v>842555</v>
      </c>
      <c r="K561" s="11">
        <v>0</v>
      </c>
      <c r="L561" t="s">
        <v>35</v>
      </c>
      <c r="M561" t="s">
        <v>36</v>
      </c>
      <c r="N561" t="s">
        <v>61</v>
      </c>
      <c r="O561" t="s">
        <v>1383</v>
      </c>
    </row>
    <row r="562" spans="1:15" x14ac:dyDescent="0.25">
      <c r="A562" t="s">
        <v>1022</v>
      </c>
      <c r="B562" t="s">
        <v>376</v>
      </c>
      <c r="C562" t="s">
        <v>377</v>
      </c>
      <c r="D562" s="6">
        <v>46179</v>
      </c>
      <c r="E562" t="s">
        <v>58</v>
      </c>
      <c r="F562" t="s">
        <v>32</v>
      </c>
      <c r="G562" t="s">
        <v>46</v>
      </c>
      <c r="H562" t="s">
        <v>34</v>
      </c>
      <c r="I562">
        <v>5</v>
      </c>
      <c r="J562" s="11">
        <v>2231250</v>
      </c>
      <c r="K562" s="11">
        <v>0</v>
      </c>
      <c r="L562" t="s">
        <v>35</v>
      </c>
      <c r="M562" t="s">
        <v>36</v>
      </c>
      <c r="N562" t="s">
        <v>61</v>
      </c>
      <c r="O562" t="s">
        <v>1377</v>
      </c>
    </row>
    <row r="563" spans="1:15" hidden="1" x14ac:dyDescent="0.25">
      <c r="A563" t="s">
        <v>1023</v>
      </c>
      <c r="B563" t="s">
        <v>413</v>
      </c>
      <c r="C563" t="s">
        <v>122</v>
      </c>
      <c r="D563" s="6">
        <v>46183</v>
      </c>
      <c r="E563" t="s">
        <v>41</v>
      </c>
      <c r="F563" t="s">
        <v>42</v>
      </c>
      <c r="G563" t="s">
        <v>85</v>
      </c>
      <c r="H563" t="s">
        <v>47</v>
      </c>
      <c r="I563">
        <v>3</v>
      </c>
      <c r="J563" s="11">
        <v>2099348</v>
      </c>
      <c r="K563" s="11">
        <v>0</v>
      </c>
      <c r="L563" t="s">
        <v>35</v>
      </c>
      <c r="M563" t="s">
        <v>36</v>
      </c>
      <c r="N563" t="s">
        <v>37</v>
      </c>
      <c r="O563" t="s">
        <v>1377</v>
      </c>
    </row>
    <row r="564" spans="1:15" hidden="1" x14ac:dyDescent="0.25">
      <c r="A564" t="s">
        <v>1024</v>
      </c>
      <c r="B564" t="s">
        <v>182</v>
      </c>
      <c r="C564" t="s">
        <v>200</v>
      </c>
      <c r="D564" s="6">
        <v>46084</v>
      </c>
      <c r="E564" t="s">
        <v>80</v>
      </c>
      <c r="F564" t="s">
        <v>65</v>
      </c>
      <c r="G564" t="s">
        <v>81</v>
      </c>
      <c r="H564" t="s">
        <v>34</v>
      </c>
      <c r="I564">
        <v>6</v>
      </c>
      <c r="J564" s="11">
        <v>854888</v>
      </c>
      <c r="K564" s="11">
        <v>35000</v>
      </c>
      <c r="L564" t="s">
        <v>245</v>
      </c>
      <c r="M564" t="s">
        <v>67</v>
      </c>
      <c r="N564" t="s">
        <v>37</v>
      </c>
    </row>
    <row r="565" spans="1:15" hidden="1" x14ac:dyDescent="0.25">
      <c r="A565" t="s">
        <v>1025</v>
      </c>
      <c r="B565" t="s">
        <v>1026</v>
      </c>
      <c r="C565" t="s">
        <v>642</v>
      </c>
      <c r="D565" s="6">
        <v>46085</v>
      </c>
      <c r="E565" t="s">
        <v>58</v>
      </c>
      <c r="F565" t="s">
        <v>32</v>
      </c>
      <c r="G565" t="s">
        <v>85</v>
      </c>
      <c r="H565" t="s">
        <v>34</v>
      </c>
      <c r="I565">
        <v>7</v>
      </c>
      <c r="J565" s="11">
        <v>1980816</v>
      </c>
      <c r="K565" s="11">
        <v>15000</v>
      </c>
      <c r="L565" t="s">
        <v>35</v>
      </c>
      <c r="M565" t="s">
        <v>36</v>
      </c>
      <c r="N565" t="s">
        <v>37</v>
      </c>
    </row>
    <row r="566" spans="1:15" hidden="1" x14ac:dyDescent="0.25">
      <c r="A566" t="s">
        <v>1027</v>
      </c>
      <c r="B566" t="s">
        <v>498</v>
      </c>
      <c r="C566" t="s">
        <v>388</v>
      </c>
      <c r="D566" s="6">
        <v>46040</v>
      </c>
      <c r="E566" t="s">
        <v>41</v>
      </c>
      <c r="F566" t="s">
        <v>59</v>
      </c>
      <c r="G566" t="s">
        <v>81</v>
      </c>
      <c r="H566" t="s">
        <v>47</v>
      </c>
      <c r="I566">
        <v>6</v>
      </c>
      <c r="J566" s="11">
        <v>148870</v>
      </c>
      <c r="K566" s="11">
        <v>0</v>
      </c>
      <c r="L566" t="s">
        <v>35</v>
      </c>
      <c r="M566" t="s">
        <v>71</v>
      </c>
      <c r="N566" t="s">
        <v>37</v>
      </c>
      <c r="O566" t="s">
        <v>1377</v>
      </c>
    </row>
    <row r="567" spans="1:15" hidden="1" x14ac:dyDescent="0.25">
      <c r="A567" t="s">
        <v>1028</v>
      </c>
      <c r="B567" t="s">
        <v>430</v>
      </c>
      <c r="C567" t="s">
        <v>45</v>
      </c>
      <c r="D567" s="6">
        <v>46160</v>
      </c>
      <c r="E567" t="s">
        <v>58</v>
      </c>
      <c r="F567" t="s">
        <v>32</v>
      </c>
      <c r="G567" t="s">
        <v>60</v>
      </c>
      <c r="H567" t="s">
        <v>54</v>
      </c>
      <c r="I567">
        <v>6</v>
      </c>
      <c r="J567" s="11">
        <v>627435</v>
      </c>
      <c r="K567" s="11">
        <v>50000</v>
      </c>
      <c r="L567" t="s">
        <v>89</v>
      </c>
      <c r="M567" t="s">
        <v>71</v>
      </c>
      <c r="N567" t="s">
        <v>37</v>
      </c>
    </row>
    <row r="568" spans="1:15" hidden="1" x14ac:dyDescent="0.25">
      <c r="A568" t="s">
        <v>1029</v>
      </c>
      <c r="B568" t="s">
        <v>573</v>
      </c>
      <c r="C568" t="s">
        <v>195</v>
      </c>
      <c r="D568" s="6">
        <v>46153</v>
      </c>
      <c r="E568" t="s">
        <v>80</v>
      </c>
      <c r="F568" t="s">
        <v>65</v>
      </c>
      <c r="G568" t="s">
        <v>75</v>
      </c>
      <c r="H568" t="s">
        <v>34</v>
      </c>
      <c r="I568">
        <v>7</v>
      </c>
      <c r="J568" s="11">
        <v>1965685</v>
      </c>
      <c r="K568" s="11">
        <v>35000</v>
      </c>
      <c r="L568" t="s">
        <v>35</v>
      </c>
      <c r="M568" t="s">
        <v>67</v>
      </c>
      <c r="N568" t="s">
        <v>37</v>
      </c>
    </row>
    <row r="569" spans="1:15" x14ac:dyDescent="0.25">
      <c r="A569" t="s">
        <v>1031</v>
      </c>
      <c r="B569" t="s">
        <v>100</v>
      </c>
      <c r="C569" t="s">
        <v>101</v>
      </c>
      <c r="D569" s="6">
        <v>46191</v>
      </c>
      <c r="E569" t="s">
        <v>58</v>
      </c>
      <c r="F569" t="s">
        <v>59</v>
      </c>
      <c r="G569" t="s">
        <v>75</v>
      </c>
      <c r="H569" t="s">
        <v>47</v>
      </c>
      <c r="I569">
        <v>2</v>
      </c>
      <c r="J569" s="11">
        <v>1545369</v>
      </c>
      <c r="K569" s="11">
        <v>15000</v>
      </c>
      <c r="L569" t="s">
        <v>48</v>
      </c>
      <c r="M569" t="s">
        <v>36</v>
      </c>
      <c r="N569" t="s">
        <v>61</v>
      </c>
    </row>
    <row r="570" spans="1:15" x14ac:dyDescent="0.25">
      <c r="A570" t="s">
        <v>1032</v>
      </c>
      <c r="B570" t="s">
        <v>903</v>
      </c>
      <c r="C570" t="s">
        <v>173</v>
      </c>
      <c r="D570" s="6">
        <v>46089</v>
      </c>
      <c r="E570" t="s">
        <v>80</v>
      </c>
      <c r="F570" t="s">
        <v>32</v>
      </c>
      <c r="G570" t="s">
        <v>46</v>
      </c>
      <c r="H570" t="s">
        <v>54</v>
      </c>
      <c r="I570">
        <v>6</v>
      </c>
      <c r="J570" s="11">
        <v>1556309</v>
      </c>
      <c r="K570" s="11">
        <v>25000</v>
      </c>
      <c r="L570" t="s">
        <v>35</v>
      </c>
      <c r="M570" t="s">
        <v>71</v>
      </c>
      <c r="N570" t="s">
        <v>61</v>
      </c>
    </row>
    <row r="571" spans="1:15" hidden="1" x14ac:dyDescent="0.25">
      <c r="A571" t="s">
        <v>1033</v>
      </c>
      <c r="B571" t="s">
        <v>128</v>
      </c>
      <c r="C571" t="s">
        <v>129</v>
      </c>
      <c r="D571" s="6">
        <v>46156</v>
      </c>
      <c r="E571" t="s">
        <v>80</v>
      </c>
      <c r="F571" t="s">
        <v>42</v>
      </c>
      <c r="G571" t="s">
        <v>46</v>
      </c>
      <c r="H571" t="s">
        <v>66</v>
      </c>
      <c r="I571">
        <v>2</v>
      </c>
      <c r="J571" s="11">
        <v>1329764</v>
      </c>
      <c r="K571" s="11">
        <v>0</v>
      </c>
      <c r="L571" t="s">
        <v>48</v>
      </c>
      <c r="M571" t="s">
        <v>49</v>
      </c>
      <c r="N571" t="s">
        <v>37</v>
      </c>
      <c r="O571" t="s">
        <v>1377</v>
      </c>
    </row>
    <row r="572" spans="1:15" x14ac:dyDescent="0.25">
      <c r="A572" t="s">
        <v>1034</v>
      </c>
      <c r="B572" t="s">
        <v>530</v>
      </c>
      <c r="C572" t="s">
        <v>382</v>
      </c>
      <c r="D572" s="6">
        <v>46135</v>
      </c>
      <c r="E572" t="s">
        <v>41</v>
      </c>
      <c r="F572" t="s">
        <v>32</v>
      </c>
      <c r="G572" t="s">
        <v>75</v>
      </c>
      <c r="H572" t="s">
        <v>34</v>
      </c>
      <c r="I572">
        <v>6</v>
      </c>
      <c r="J572" s="11">
        <v>1356814</v>
      </c>
      <c r="K572" s="11">
        <v>15000</v>
      </c>
      <c r="L572" t="s">
        <v>48</v>
      </c>
      <c r="M572" t="s">
        <v>71</v>
      </c>
      <c r="N572" t="s">
        <v>61</v>
      </c>
    </row>
    <row r="573" spans="1:15" x14ac:dyDescent="0.25">
      <c r="A573" t="s">
        <v>1035</v>
      </c>
      <c r="B573" t="s">
        <v>532</v>
      </c>
      <c r="C573" t="s">
        <v>98</v>
      </c>
      <c r="D573" s="6">
        <v>46077</v>
      </c>
      <c r="E573" t="s">
        <v>53</v>
      </c>
      <c r="F573" t="s">
        <v>59</v>
      </c>
      <c r="G573" t="s">
        <v>60</v>
      </c>
      <c r="H573" t="s">
        <v>76</v>
      </c>
      <c r="I573">
        <v>5</v>
      </c>
      <c r="J573" s="11">
        <v>1390691</v>
      </c>
      <c r="K573" s="11">
        <v>15000</v>
      </c>
      <c r="L573" t="s">
        <v>35</v>
      </c>
      <c r="M573" t="s">
        <v>36</v>
      </c>
      <c r="N573" t="s">
        <v>61</v>
      </c>
    </row>
    <row r="574" spans="1:15" hidden="1" x14ac:dyDescent="0.25">
      <c r="A574" t="s">
        <v>1036</v>
      </c>
      <c r="B574" t="s">
        <v>987</v>
      </c>
      <c r="C574" t="s">
        <v>229</v>
      </c>
      <c r="D574" s="6">
        <v>46187</v>
      </c>
      <c r="E574" t="s">
        <v>41</v>
      </c>
      <c r="F574" t="s">
        <v>59</v>
      </c>
      <c r="G574" t="s">
        <v>75</v>
      </c>
      <c r="H574" t="s">
        <v>34</v>
      </c>
      <c r="I574">
        <v>7</v>
      </c>
      <c r="J574" s="11">
        <v>773794</v>
      </c>
      <c r="K574" s="11">
        <v>50000</v>
      </c>
      <c r="L574" t="s">
        <v>35</v>
      </c>
      <c r="M574" t="s">
        <v>36</v>
      </c>
      <c r="N574" t="s">
        <v>37</v>
      </c>
    </row>
    <row r="575" spans="1:15" hidden="1" x14ac:dyDescent="0.25">
      <c r="A575" t="s">
        <v>1037</v>
      </c>
      <c r="B575" t="s">
        <v>364</v>
      </c>
      <c r="C575" t="s">
        <v>70</v>
      </c>
      <c r="D575" s="6">
        <v>46146</v>
      </c>
      <c r="E575" t="s">
        <v>80</v>
      </c>
      <c r="F575" t="s">
        <v>42</v>
      </c>
      <c r="G575" t="s">
        <v>85</v>
      </c>
      <c r="H575" t="s">
        <v>34</v>
      </c>
      <c r="I575">
        <v>6</v>
      </c>
      <c r="J575" s="11">
        <v>1713300</v>
      </c>
      <c r="K575" s="11">
        <v>0</v>
      </c>
      <c r="L575" t="s">
        <v>245</v>
      </c>
      <c r="M575" t="s">
        <v>67</v>
      </c>
      <c r="N575" t="s">
        <v>37</v>
      </c>
      <c r="O575" t="s">
        <v>1377</v>
      </c>
    </row>
    <row r="576" spans="1:15" hidden="1" x14ac:dyDescent="0.25">
      <c r="A576" t="s">
        <v>1038</v>
      </c>
      <c r="B576" t="s">
        <v>575</v>
      </c>
      <c r="C576" t="s">
        <v>576</v>
      </c>
      <c r="D576" s="6">
        <v>46053</v>
      </c>
      <c r="E576" t="s">
        <v>58</v>
      </c>
      <c r="F576" t="s">
        <v>42</v>
      </c>
      <c r="G576" t="s">
        <v>75</v>
      </c>
      <c r="H576" t="s">
        <v>34</v>
      </c>
      <c r="I576">
        <v>4</v>
      </c>
      <c r="J576" s="11">
        <v>946035</v>
      </c>
      <c r="K576" s="11">
        <v>25000</v>
      </c>
      <c r="L576" t="s">
        <v>35</v>
      </c>
      <c r="M576" t="s">
        <v>71</v>
      </c>
      <c r="N576" t="s">
        <v>37</v>
      </c>
    </row>
    <row r="577" spans="1:15" x14ac:dyDescent="0.25">
      <c r="A577" t="s">
        <v>1039</v>
      </c>
      <c r="B577" t="s">
        <v>396</v>
      </c>
      <c r="C577" t="s">
        <v>241</v>
      </c>
      <c r="D577" s="6">
        <v>46031</v>
      </c>
      <c r="E577" t="s">
        <v>53</v>
      </c>
      <c r="F577" t="s">
        <v>65</v>
      </c>
      <c r="G577" t="s">
        <v>81</v>
      </c>
      <c r="H577" t="s">
        <v>47</v>
      </c>
      <c r="I577">
        <v>3</v>
      </c>
      <c r="J577" s="11">
        <v>1791393</v>
      </c>
      <c r="K577" s="11">
        <v>0</v>
      </c>
      <c r="L577" t="s">
        <v>35</v>
      </c>
      <c r="M577" t="s">
        <v>67</v>
      </c>
      <c r="N577" t="s">
        <v>61</v>
      </c>
      <c r="O577" t="s">
        <v>1377</v>
      </c>
    </row>
    <row r="578" spans="1:15" x14ac:dyDescent="0.25">
      <c r="A578" t="s">
        <v>1040</v>
      </c>
      <c r="B578" t="s">
        <v>699</v>
      </c>
      <c r="C578" t="s">
        <v>104</v>
      </c>
      <c r="E578" t="s">
        <v>58</v>
      </c>
      <c r="F578" t="s">
        <v>32</v>
      </c>
      <c r="G578" t="s">
        <v>46</v>
      </c>
      <c r="H578" t="s">
        <v>66</v>
      </c>
      <c r="I578">
        <v>2</v>
      </c>
      <c r="J578" s="11">
        <v>886234</v>
      </c>
      <c r="K578" s="11">
        <v>15000</v>
      </c>
      <c r="L578" t="s">
        <v>35</v>
      </c>
      <c r="M578" t="s">
        <v>36</v>
      </c>
      <c r="N578" t="s">
        <v>61</v>
      </c>
      <c r="O578" t="s">
        <v>1375</v>
      </c>
    </row>
    <row r="579" spans="1:15" x14ac:dyDescent="0.25">
      <c r="A579" t="s">
        <v>1041</v>
      </c>
      <c r="B579" t="s">
        <v>167</v>
      </c>
      <c r="C579" t="s">
        <v>84</v>
      </c>
      <c r="D579" s="6">
        <v>46071</v>
      </c>
      <c r="E579" t="s">
        <v>31</v>
      </c>
      <c r="F579" t="s">
        <v>59</v>
      </c>
      <c r="G579" t="s">
        <v>60</v>
      </c>
      <c r="H579" t="s">
        <v>54</v>
      </c>
      <c r="I579">
        <v>5</v>
      </c>
      <c r="J579" s="11">
        <v>387046</v>
      </c>
      <c r="K579" s="11">
        <v>15000</v>
      </c>
      <c r="L579" t="s">
        <v>35</v>
      </c>
      <c r="M579" t="s">
        <v>67</v>
      </c>
      <c r="N579" t="s">
        <v>61</v>
      </c>
    </row>
    <row r="580" spans="1:15" x14ac:dyDescent="0.25">
      <c r="A580" t="s">
        <v>1042</v>
      </c>
      <c r="B580" t="s">
        <v>110</v>
      </c>
      <c r="C580" t="s">
        <v>111</v>
      </c>
      <c r="D580" s="6">
        <v>46185</v>
      </c>
      <c r="E580" t="s">
        <v>31</v>
      </c>
      <c r="F580" t="s">
        <v>65</v>
      </c>
      <c r="G580" t="s">
        <v>46</v>
      </c>
      <c r="H580" t="s">
        <v>76</v>
      </c>
      <c r="I580">
        <v>4</v>
      </c>
      <c r="J580" s="11">
        <v>426412</v>
      </c>
      <c r="K580" s="11">
        <v>15000</v>
      </c>
      <c r="L580" t="s">
        <v>35</v>
      </c>
      <c r="M580" t="s">
        <v>67</v>
      </c>
      <c r="N580" t="s">
        <v>61</v>
      </c>
    </row>
    <row r="581" spans="1:15" hidden="1" x14ac:dyDescent="0.25">
      <c r="A581" t="s">
        <v>1043</v>
      </c>
      <c r="B581" t="s">
        <v>154</v>
      </c>
      <c r="C581" t="s">
        <v>84</v>
      </c>
      <c r="D581" s="6">
        <v>46147</v>
      </c>
      <c r="E581" t="s">
        <v>58</v>
      </c>
      <c r="F581" t="s">
        <v>59</v>
      </c>
      <c r="G581" t="s">
        <v>75</v>
      </c>
      <c r="H581" t="s">
        <v>34</v>
      </c>
      <c r="I581">
        <v>1</v>
      </c>
      <c r="J581" s="11">
        <v>1378127</v>
      </c>
      <c r="K581" s="11">
        <v>50000</v>
      </c>
      <c r="L581" t="s">
        <v>35</v>
      </c>
      <c r="M581" t="s">
        <v>71</v>
      </c>
      <c r="N581" t="s">
        <v>37</v>
      </c>
    </row>
    <row r="582" spans="1:15" hidden="1" x14ac:dyDescent="0.25">
      <c r="A582" t="s">
        <v>1044</v>
      </c>
      <c r="B582" t="s">
        <v>571</v>
      </c>
      <c r="C582" t="s">
        <v>248</v>
      </c>
      <c r="D582" s="6">
        <v>46087</v>
      </c>
      <c r="E582" t="s">
        <v>53</v>
      </c>
      <c r="F582" t="s">
        <v>59</v>
      </c>
      <c r="G582" t="s">
        <v>46</v>
      </c>
      <c r="H582" t="s">
        <v>66</v>
      </c>
      <c r="I582">
        <v>3</v>
      </c>
      <c r="J582" s="11">
        <v>1827790</v>
      </c>
      <c r="K582" s="11">
        <v>50000</v>
      </c>
      <c r="L582" t="s">
        <v>35</v>
      </c>
      <c r="M582" t="s">
        <v>67</v>
      </c>
      <c r="N582" t="s">
        <v>37</v>
      </c>
    </row>
    <row r="583" spans="1:15" x14ac:dyDescent="0.25">
      <c r="A583" t="s">
        <v>1045</v>
      </c>
      <c r="B583" t="s">
        <v>143</v>
      </c>
      <c r="C583" t="s">
        <v>144</v>
      </c>
      <c r="D583" s="6">
        <v>46159</v>
      </c>
      <c r="E583" t="s">
        <v>41</v>
      </c>
      <c r="F583" t="s">
        <v>65</v>
      </c>
      <c r="G583" t="s">
        <v>85</v>
      </c>
      <c r="H583" t="s">
        <v>47</v>
      </c>
      <c r="J583" s="11">
        <v>1164473</v>
      </c>
      <c r="K583" s="11">
        <v>25000</v>
      </c>
      <c r="L583" t="s">
        <v>35</v>
      </c>
      <c r="M583" t="s">
        <v>36</v>
      </c>
      <c r="N583" t="s">
        <v>61</v>
      </c>
      <c r="O583" t="s">
        <v>1376</v>
      </c>
    </row>
    <row r="584" spans="1:15" x14ac:dyDescent="0.25">
      <c r="A584" t="s">
        <v>1046</v>
      </c>
      <c r="B584" t="s">
        <v>110</v>
      </c>
      <c r="C584" t="s">
        <v>111</v>
      </c>
      <c r="D584" s="6">
        <v>46153</v>
      </c>
      <c r="E584" t="s">
        <v>80</v>
      </c>
      <c r="F584" t="s">
        <v>65</v>
      </c>
      <c r="G584" t="s">
        <v>60</v>
      </c>
      <c r="H584" t="s">
        <v>66</v>
      </c>
      <c r="I584">
        <v>2</v>
      </c>
      <c r="J584" s="11">
        <v>2093446</v>
      </c>
      <c r="K584" s="11">
        <v>35000</v>
      </c>
      <c r="L584" t="s">
        <v>35</v>
      </c>
      <c r="M584" t="s">
        <v>36</v>
      </c>
      <c r="N584" t="s">
        <v>61</v>
      </c>
    </row>
    <row r="585" spans="1:15" x14ac:dyDescent="0.25">
      <c r="A585" t="s">
        <v>1047</v>
      </c>
      <c r="B585" t="s">
        <v>1048</v>
      </c>
      <c r="C585" t="s">
        <v>253</v>
      </c>
      <c r="D585" s="6">
        <v>46050</v>
      </c>
      <c r="E585" t="s">
        <v>53</v>
      </c>
      <c r="F585" t="s">
        <v>59</v>
      </c>
      <c r="G585" t="s">
        <v>81</v>
      </c>
      <c r="H585" t="s">
        <v>66</v>
      </c>
      <c r="I585">
        <v>3</v>
      </c>
      <c r="J585" s="11">
        <v>1092251</v>
      </c>
      <c r="K585" s="11">
        <v>15000</v>
      </c>
      <c r="L585" t="s">
        <v>35</v>
      </c>
      <c r="M585" t="s">
        <v>67</v>
      </c>
      <c r="N585" t="s">
        <v>61</v>
      </c>
    </row>
    <row r="586" spans="1:15" hidden="1" x14ac:dyDescent="0.25">
      <c r="A586" t="s">
        <v>1049</v>
      </c>
      <c r="B586" t="s">
        <v>665</v>
      </c>
      <c r="C586" t="s">
        <v>442</v>
      </c>
      <c r="D586" s="6">
        <v>46195</v>
      </c>
      <c r="E586" t="s">
        <v>31</v>
      </c>
      <c r="F586" t="s">
        <v>42</v>
      </c>
      <c r="G586" t="s">
        <v>46</v>
      </c>
      <c r="H586" t="s">
        <v>34</v>
      </c>
      <c r="I586">
        <v>2</v>
      </c>
      <c r="J586" s="11">
        <v>768429</v>
      </c>
      <c r="K586" s="11">
        <v>25000</v>
      </c>
      <c r="L586" t="s">
        <v>35</v>
      </c>
      <c r="M586" t="s">
        <v>36</v>
      </c>
      <c r="N586" t="s">
        <v>37</v>
      </c>
    </row>
    <row r="587" spans="1:15" hidden="1" x14ac:dyDescent="0.25">
      <c r="A587" t="s">
        <v>1050</v>
      </c>
      <c r="B587" t="s">
        <v>913</v>
      </c>
      <c r="C587" t="s">
        <v>309</v>
      </c>
      <c r="D587" s="6">
        <v>46144</v>
      </c>
      <c r="E587" t="s">
        <v>80</v>
      </c>
      <c r="F587" t="s">
        <v>32</v>
      </c>
      <c r="G587" t="s">
        <v>85</v>
      </c>
      <c r="H587" t="s">
        <v>66</v>
      </c>
      <c r="I587">
        <v>2</v>
      </c>
      <c r="J587" s="11">
        <v>1868643</v>
      </c>
      <c r="K587" s="11">
        <v>25000</v>
      </c>
      <c r="L587" t="s">
        <v>245</v>
      </c>
      <c r="M587" t="s">
        <v>36</v>
      </c>
      <c r="N587" t="s">
        <v>37</v>
      </c>
    </row>
    <row r="588" spans="1:15" hidden="1" x14ac:dyDescent="0.25">
      <c r="A588" t="s">
        <v>1052</v>
      </c>
      <c r="B588" t="s">
        <v>132</v>
      </c>
      <c r="C588" t="s">
        <v>133</v>
      </c>
      <c r="D588" s="6">
        <v>46113</v>
      </c>
      <c r="E588" t="s">
        <v>41</v>
      </c>
      <c r="F588" t="s">
        <v>65</v>
      </c>
      <c r="G588" t="s">
        <v>60</v>
      </c>
      <c r="H588" t="s">
        <v>54</v>
      </c>
      <c r="I588">
        <v>3</v>
      </c>
      <c r="J588" s="11">
        <v>1442659</v>
      </c>
      <c r="K588" s="11">
        <v>35000</v>
      </c>
      <c r="L588" t="s">
        <v>35</v>
      </c>
      <c r="M588" t="s">
        <v>36</v>
      </c>
      <c r="N588" t="s">
        <v>37</v>
      </c>
    </row>
    <row r="589" spans="1:15" hidden="1" x14ac:dyDescent="0.25">
      <c r="A589" t="s">
        <v>1053</v>
      </c>
      <c r="B589" t="s">
        <v>635</v>
      </c>
      <c r="C589" t="s">
        <v>636</v>
      </c>
      <c r="D589" s="6">
        <v>46188</v>
      </c>
      <c r="E589" t="s">
        <v>31</v>
      </c>
      <c r="F589" t="s">
        <v>42</v>
      </c>
      <c r="G589" t="s">
        <v>75</v>
      </c>
      <c r="H589" t="s">
        <v>66</v>
      </c>
      <c r="I589">
        <v>7</v>
      </c>
      <c r="J589" s="11">
        <v>706910</v>
      </c>
      <c r="K589" s="11">
        <v>35000</v>
      </c>
      <c r="L589" t="s">
        <v>35</v>
      </c>
      <c r="M589" t="s">
        <v>71</v>
      </c>
      <c r="N589" t="s">
        <v>37</v>
      </c>
    </row>
    <row r="590" spans="1:15" hidden="1" x14ac:dyDescent="0.25">
      <c r="A590" t="s">
        <v>1054</v>
      </c>
      <c r="B590" t="s">
        <v>187</v>
      </c>
      <c r="C590" t="s">
        <v>88</v>
      </c>
      <c r="D590" s="6">
        <v>46118</v>
      </c>
      <c r="E590" t="s">
        <v>31</v>
      </c>
      <c r="F590" t="s">
        <v>42</v>
      </c>
      <c r="G590" t="s">
        <v>46</v>
      </c>
      <c r="H590" t="s">
        <v>76</v>
      </c>
      <c r="I590">
        <v>4</v>
      </c>
      <c r="J590" s="11">
        <v>219316</v>
      </c>
      <c r="K590" s="11">
        <v>25000</v>
      </c>
      <c r="L590" t="s">
        <v>48</v>
      </c>
      <c r="M590" t="s">
        <v>71</v>
      </c>
      <c r="N590" t="s">
        <v>37</v>
      </c>
    </row>
    <row r="591" spans="1:15" hidden="1" x14ac:dyDescent="0.25">
      <c r="A591" t="s">
        <v>1055</v>
      </c>
      <c r="B591" t="s">
        <v>1056</v>
      </c>
      <c r="C591" t="s">
        <v>45</v>
      </c>
      <c r="D591" s="6">
        <v>46093</v>
      </c>
      <c r="E591" t="s">
        <v>53</v>
      </c>
      <c r="F591" t="s">
        <v>59</v>
      </c>
      <c r="G591" t="s">
        <v>81</v>
      </c>
      <c r="H591" t="s">
        <v>47</v>
      </c>
      <c r="I591">
        <v>2</v>
      </c>
      <c r="J591" s="11">
        <v>568096</v>
      </c>
      <c r="K591" s="11">
        <v>0</v>
      </c>
      <c r="L591" t="s">
        <v>35</v>
      </c>
      <c r="M591" t="s">
        <v>36</v>
      </c>
      <c r="N591" t="s">
        <v>37</v>
      </c>
      <c r="O591" t="s">
        <v>1377</v>
      </c>
    </row>
    <row r="592" spans="1:15" x14ac:dyDescent="0.25">
      <c r="A592" t="s">
        <v>1058</v>
      </c>
      <c r="B592" t="s">
        <v>424</v>
      </c>
      <c r="C592" t="s">
        <v>79</v>
      </c>
      <c r="D592" s="6">
        <v>46094</v>
      </c>
      <c r="E592" t="s">
        <v>53</v>
      </c>
      <c r="F592" t="s">
        <v>32</v>
      </c>
      <c r="G592" t="s">
        <v>60</v>
      </c>
      <c r="H592" t="s">
        <v>66</v>
      </c>
      <c r="I592">
        <v>1</v>
      </c>
      <c r="J592" s="11">
        <v>1692943</v>
      </c>
      <c r="K592" s="11">
        <v>0</v>
      </c>
      <c r="L592" t="s">
        <v>35</v>
      </c>
      <c r="M592" t="s">
        <v>67</v>
      </c>
      <c r="N592" t="s">
        <v>61</v>
      </c>
      <c r="O592" t="s">
        <v>1377</v>
      </c>
    </row>
    <row r="593" spans="1:15" x14ac:dyDescent="0.25">
      <c r="A593" t="s">
        <v>1059</v>
      </c>
      <c r="B593" t="s">
        <v>172</v>
      </c>
      <c r="C593" t="s">
        <v>173</v>
      </c>
      <c r="D593" s="6">
        <v>46057</v>
      </c>
      <c r="E593" t="s">
        <v>31</v>
      </c>
      <c r="F593" t="s">
        <v>32</v>
      </c>
      <c r="G593" t="s">
        <v>46</v>
      </c>
      <c r="H593" t="s">
        <v>34</v>
      </c>
      <c r="I593">
        <v>7</v>
      </c>
      <c r="J593" s="11">
        <v>430331</v>
      </c>
      <c r="K593" s="11">
        <v>25000</v>
      </c>
      <c r="L593" t="s">
        <v>35</v>
      </c>
      <c r="M593" t="s">
        <v>71</v>
      </c>
      <c r="N593" t="s">
        <v>61</v>
      </c>
    </row>
    <row r="594" spans="1:15" x14ac:dyDescent="0.25">
      <c r="A594" t="s">
        <v>1061</v>
      </c>
      <c r="B594" t="s">
        <v>641</v>
      </c>
      <c r="C594" t="s">
        <v>642</v>
      </c>
      <c r="D594" s="6">
        <v>46085</v>
      </c>
      <c r="E594" t="s">
        <v>53</v>
      </c>
      <c r="F594" t="s">
        <v>32</v>
      </c>
      <c r="G594" t="s">
        <v>75</v>
      </c>
      <c r="H594" t="s">
        <v>54</v>
      </c>
      <c r="I594">
        <v>5</v>
      </c>
      <c r="J594" s="11">
        <v>1495069</v>
      </c>
      <c r="K594" s="11">
        <v>50000</v>
      </c>
      <c r="L594" t="s">
        <v>35</v>
      </c>
      <c r="M594" t="s">
        <v>67</v>
      </c>
      <c r="N594" t="s">
        <v>61</v>
      </c>
    </row>
    <row r="595" spans="1:15" hidden="1" x14ac:dyDescent="0.25">
      <c r="A595" t="s">
        <v>1062</v>
      </c>
      <c r="B595" t="s">
        <v>587</v>
      </c>
      <c r="C595" t="s">
        <v>238</v>
      </c>
      <c r="D595" s="6">
        <v>46040</v>
      </c>
      <c r="E595" t="s">
        <v>31</v>
      </c>
      <c r="F595" t="s">
        <v>32</v>
      </c>
      <c r="G595" t="s">
        <v>60</v>
      </c>
      <c r="H595" t="s">
        <v>34</v>
      </c>
      <c r="I595">
        <v>7</v>
      </c>
      <c r="J595" s="11">
        <v>1436848</v>
      </c>
      <c r="K595" s="11">
        <v>25000</v>
      </c>
      <c r="L595" t="s">
        <v>35</v>
      </c>
      <c r="M595" t="s">
        <v>71</v>
      </c>
      <c r="N595" t="s">
        <v>37</v>
      </c>
    </row>
    <row r="596" spans="1:15" hidden="1" x14ac:dyDescent="0.25">
      <c r="A596" t="s">
        <v>1063</v>
      </c>
      <c r="B596" t="s">
        <v>599</v>
      </c>
      <c r="C596" t="s">
        <v>263</v>
      </c>
      <c r="D596" s="6">
        <v>46108</v>
      </c>
      <c r="E596" t="s">
        <v>31</v>
      </c>
      <c r="F596" t="s">
        <v>65</v>
      </c>
      <c r="G596" t="s">
        <v>75</v>
      </c>
      <c r="H596" t="s">
        <v>47</v>
      </c>
      <c r="I596">
        <v>3</v>
      </c>
      <c r="J596" s="11">
        <v>954604</v>
      </c>
      <c r="K596" s="11">
        <v>25000</v>
      </c>
      <c r="L596" t="s">
        <v>35</v>
      </c>
      <c r="M596" t="s">
        <v>49</v>
      </c>
      <c r="N596" t="s">
        <v>37</v>
      </c>
    </row>
    <row r="597" spans="1:15" hidden="1" x14ac:dyDescent="0.25">
      <c r="A597" t="s">
        <v>1064</v>
      </c>
      <c r="B597" t="s">
        <v>344</v>
      </c>
      <c r="C597" t="s">
        <v>119</v>
      </c>
      <c r="D597" s="6">
        <v>46147</v>
      </c>
      <c r="E597" t="s">
        <v>58</v>
      </c>
      <c r="F597" t="s">
        <v>59</v>
      </c>
      <c r="G597" t="s">
        <v>81</v>
      </c>
      <c r="H597" t="s">
        <v>76</v>
      </c>
      <c r="I597">
        <v>1</v>
      </c>
      <c r="J597" s="11"/>
      <c r="K597" s="11">
        <v>50000</v>
      </c>
      <c r="L597" t="s">
        <v>245</v>
      </c>
      <c r="M597" t="s">
        <v>36</v>
      </c>
      <c r="N597" t="s">
        <v>37</v>
      </c>
      <c r="O597" t="s">
        <v>1374</v>
      </c>
    </row>
    <row r="598" spans="1:15" x14ac:dyDescent="0.25">
      <c r="A598" t="s">
        <v>1065</v>
      </c>
      <c r="B598" t="s">
        <v>405</v>
      </c>
      <c r="C598" t="s">
        <v>107</v>
      </c>
      <c r="D598" s="6">
        <v>46160</v>
      </c>
      <c r="E598" t="s">
        <v>58</v>
      </c>
      <c r="F598" t="s">
        <v>65</v>
      </c>
      <c r="G598" t="s">
        <v>46</v>
      </c>
      <c r="H598" t="s">
        <v>54</v>
      </c>
      <c r="I598">
        <v>5</v>
      </c>
      <c r="J598" s="11">
        <v>2183637</v>
      </c>
      <c r="K598" s="11">
        <v>25000</v>
      </c>
      <c r="L598" t="s">
        <v>35</v>
      </c>
      <c r="M598" t="s">
        <v>67</v>
      </c>
      <c r="N598" t="s">
        <v>61</v>
      </c>
    </row>
    <row r="599" spans="1:15" hidden="1" x14ac:dyDescent="0.25">
      <c r="A599" t="s">
        <v>1066</v>
      </c>
      <c r="B599" t="s">
        <v>318</v>
      </c>
      <c r="C599" t="s">
        <v>45</v>
      </c>
      <c r="D599" s="6">
        <v>46154</v>
      </c>
      <c r="E599" t="s">
        <v>58</v>
      </c>
      <c r="F599" t="s">
        <v>59</v>
      </c>
      <c r="G599" t="s">
        <v>33</v>
      </c>
      <c r="H599" t="s">
        <v>47</v>
      </c>
      <c r="I599">
        <v>4</v>
      </c>
      <c r="J599" s="11">
        <v>487967</v>
      </c>
      <c r="K599" s="11">
        <v>50000</v>
      </c>
      <c r="L599" t="s">
        <v>35</v>
      </c>
      <c r="M599" t="s">
        <v>49</v>
      </c>
      <c r="N599" t="s">
        <v>37</v>
      </c>
    </row>
    <row r="600" spans="1:15" hidden="1" x14ac:dyDescent="0.25">
      <c r="A600" t="s">
        <v>1067</v>
      </c>
      <c r="B600" t="s">
        <v>1068</v>
      </c>
      <c r="C600" t="s">
        <v>377</v>
      </c>
      <c r="D600" s="6">
        <v>46061</v>
      </c>
      <c r="E600" t="s">
        <v>53</v>
      </c>
      <c r="F600" t="s">
        <v>59</v>
      </c>
      <c r="G600" t="s">
        <v>81</v>
      </c>
      <c r="H600" t="s">
        <v>47</v>
      </c>
      <c r="I600">
        <v>2</v>
      </c>
      <c r="J600" s="11">
        <v>1505921</v>
      </c>
      <c r="K600" s="11">
        <v>0</v>
      </c>
      <c r="L600" t="s">
        <v>35</v>
      </c>
      <c r="M600" t="s">
        <v>67</v>
      </c>
      <c r="N600" t="s">
        <v>37</v>
      </c>
      <c r="O600" t="s">
        <v>1377</v>
      </c>
    </row>
    <row r="601" spans="1:15" hidden="1" x14ac:dyDescent="0.25">
      <c r="A601" t="s">
        <v>1069</v>
      </c>
      <c r="B601" t="s">
        <v>116</v>
      </c>
      <c r="C601" t="s">
        <v>74</v>
      </c>
      <c r="D601" s="6">
        <v>46182</v>
      </c>
      <c r="E601" t="s">
        <v>80</v>
      </c>
      <c r="F601" t="s">
        <v>42</v>
      </c>
      <c r="G601" t="s">
        <v>46</v>
      </c>
      <c r="H601" t="s">
        <v>66</v>
      </c>
      <c r="I601">
        <v>1</v>
      </c>
      <c r="J601" s="11">
        <v>1755558</v>
      </c>
      <c r="K601" s="11">
        <v>0</v>
      </c>
      <c r="L601" t="s">
        <v>35</v>
      </c>
      <c r="M601" t="s">
        <v>36</v>
      </c>
      <c r="N601" t="s">
        <v>37</v>
      </c>
      <c r="O601" t="s">
        <v>1377</v>
      </c>
    </row>
    <row r="602" spans="1:15" x14ac:dyDescent="0.25">
      <c r="A602" t="s">
        <v>1070</v>
      </c>
      <c r="B602" t="s">
        <v>597</v>
      </c>
      <c r="C602" t="s">
        <v>190</v>
      </c>
      <c r="D602" s="6">
        <v>46193</v>
      </c>
      <c r="E602" t="s">
        <v>31</v>
      </c>
      <c r="F602" t="s">
        <v>42</v>
      </c>
      <c r="G602" t="s">
        <v>85</v>
      </c>
      <c r="H602" t="s">
        <v>66</v>
      </c>
      <c r="I602">
        <v>3</v>
      </c>
      <c r="J602" s="11">
        <v>960251</v>
      </c>
      <c r="K602" s="11">
        <v>50000</v>
      </c>
      <c r="L602" t="s">
        <v>48</v>
      </c>
      <c r="M602" t="s">
        <v>71</v>
      </c>
      <c r="N602" t="s">
        <v>61</v>
      </c>
    </row>
    <row r="603" spans="1:15" x14ac:dyDescent="0.25">
      <c r="A603" t="s">
        <v>1071</v>
      </c>
      <c r="B603" t="s">
        <v>207</v>
      </c>
      <c r="C603" t="s">
        <v>208</v>
      </c>
      <c r="D603" s="6">
        <v>46029</v>
      </c>
      <c r="E603" t="s">
        <v>80</v>
      </c>
      <c r="F603" t="s">
        <v>65</v>
      </c>
      <c r="G603" t="s">
        <v>33</v>
      </c>
      <c r="H603" t="s">
        <v>66</v>
      </c>
      <c r="I603">
        <v>7</v>
      </c>
      <c r="J603" s="11">
        <v>2357334</v>
      </c>
      <c r="K603" s="11">
        <v>50000</v>
      </c>
      <c r="L603" t="s">
        <v>35</v>
      </c>
      <c r="M603" t="s">
        <v>67</v>
      </c>
      <c r="N603" t="s">
        <v>61</v>
      </c>
    </row>
    <row r="604" spans="1:15" hidden="1" x14ac:dyDescent="0.25">
      <c r="A604" t="s">
        <v>1073</v>
      </c>
      <c r="B604" t="s">
        <v>446</v>
      </c>
      <c r="C604" t="s">
        <v>98</v>
      </c>
      <c r="D604" s="6">
        <v>46076</v>
      </c>
      <c r="E604" t="s">
        <v>31</v>
      </c>
      <c r="F604" t="s">
        <v>32</v>
      </c>
      <c r="G604" t="s">
        <v>81</v>
      </c>
      <c r="H604" t="s">
        <v>34</v>
      </c>
      <c r="I604">
        <v>2</v>
      </c>
      <c r="J604" s="11">
        <v>965997</v>
      </c>
      <c r="K604" s="11">
        <v>25000</v>
      </c>
      <c r="L604" t="s">
        <v>35</v>
      </c>
      <c r="M604" t="s">
        <v>67</v>
      </c>
      <c r="N604" t="s">
        <v>37</v>
      </c>
    </row>
    <row r="605" spans="1:15" hidden="1" x14ac:dyDescent="0.25">
      <c r="A605" t="s">
        <v>1074</v>
      </c>
      <c r="B605" t="s">
        <v>407</v>
      </c>
      <c r="C605" t="s">
        <v>200</v>
      </c>
      <c r="D605" s="6">
        <v>46119</v>
      </c>
      <c r="E605" t="s">
        <v>41</v>
      </c>
      <c r="F605" t="s">
        <v>65</v>
      </c>
      <c r="G605" t="s">
        <v>60</v>
      </c>
      <c r="H605" t="s">
        <v>47</v>
      </c>
      <c r="I605">
        <v>7</v>
      </c>
      <c r="J605" s="11">
        <v>226635</v>
      </c>
      <c r="K605" s="11">
        <v>35000</v>
      </c>
      <c r="L605" t="s">
        <v>35</v>
      </c>
      <c r="M605" t="s">
        <v>36</v>
      </c>
      <c r="N605" t="s">
        <v>37</v>
      </c>
    </row>
    <row r="606" spans="1:15" x14ac:dyDescent="0.25">
      <c r="A606" t="s">
        <v>1075</v>
      </c>
      <c r="B606" t="s">
        <v>770</v>
      </c>
      <c r="C606" t="s">
        <v>101</v>
      </c>
      <c r="D606" s="6">
        <v>46075</v>
      </c>
      <c r="E606" t="s">
        <v>53</v>
      </c>
      <c r="F606" t="s">
        <v>65</v>
      </c>
      <c r="G606" t="s">
        <v>85</v>
      </c>
      <c r="H606" t="s">
        <v>34</v>
      </c>
      <c r="I606">
        <v>7</v>
      </c>
      <c r="J606" s="11">
        <v>1715953</v>
      </c>
      <c r="K606" s="11">
        <v>50000</v>
      </c>
      <c r="L606" t="s">
        <v>35</v>
      </c>
      <c r="M606" t="s">
        <v>49</v>
      </c>
      <c r="N606" t="s">
        <v>61</v>
      </c>
    </row>
    <row r="607" spans="1:15" x14ac:dyDescent="0.25">
      <c r="A607" t="s">
        <v>1076</v>
      </c>
      <c r="B607" t="s">
        <v>807</v>
      </c>
      <c r="C607" t="s">
        <v>219</v>
      </c>
      <c r="D607" s="6">
        <v>46177</v>
      </c>
      <c r="E607" t="s">
        <v>53</v>
      </c>
      <c r="F607" t="s">
        <v>32</v>
      </c>
      <c r="G607" t="s">
        <v>60</v>
      </c>
      <c r="H607" t="s">
        <v>66</v>
      </c>
      <c r="I607">
        <v>4</v>
      </c>
      <c r="J607" s="11">
        <v>1623198</v>
      </c>
      <c r="K607" s="11">
        <v>25000</v>
      </c>
      <c r="L607" t="s">
        <v>35</v>
      </c>
      <c r="M607" t="s">
        <v>49</v>
      </c>
      <c r="N607" t="s">
        <v>61</v>
      </c>
    </row>
    <row r="608" spans="1:15" x14ac:dyDescent="0.25">
      <c r="A608" t="s">
        <v>1077</v>
      </c>
      <c r="B608" t="s">
        <v>279</v>
      </c>
      <c r="C608" t="s">
        <v>111</v>
      </c>
      <c r="D608" s="6">
        <v>46143</v>
      </c>
      <c r="E608" t="s">
        <v>58</v>
      </c>
      <c r="F608" t="s">
        <v>32</v>
      </c>
      <c r="G608" t="s">
        <v>33</v>
      </c>
      <c r="H608" t="s">
        <v>66</v>
      </c>
      <c r="I608">
        <v>7</v>
      </c>
      <c r="J608" s="11">
        <v>150432</v>
      </c>
      <c r="K608" s="11">
        <v>35000</v>
      </c>
      <c r="L608" t="s">
        <v>35</v>
      </c>
      <c r="M608" t="s">
        <v>49</v>
      </c>
      <c r="N608" t="s">
        <v>61</v>
      </c>
    </row>
    <row r="609" spans="1:15" hidden="1" x14ac:dyDescent="0.25">
      <c r="A609" t="s">
        <v>1079</v>
      </c>
      <c r="B609" t="s">
        <v>417</v>
      </c>
      <c r="C609" t="s">
        <v>70</v>
      </c>
      <c r="D609" s="6">
        <v>46189</v>
      </c>
      <c r="E609" t="s">
        <v>41</v>
      </c>
      <c r="F609" t="s">
        <v>59</v>
      </c>
      <c r="G609" t="s">
        <v>81</v>
      </c>
      <c r="H609" t="s">
        <v>66</v>
      </c>
      <c r="I609">
        <v>6</v>
      </c>
      <c r="J609" s="11">
        <v>1381203</v>
      </c>
      <c r="K609" s="11">
        <v>15000</v>
      </c>
      <c r="L609" t="s">
        <v>35</v>
      </c>
      <c r="M609" t="s">
        <v>36</v>
      </c>
      <c r="N609" t="s">
        <v>37</v>
      </c>
    </row>
    <row r="610" spans="1:15" x14ac:dyDescent="0.25">
      <c r="A610" t="s">
        <v>1081</v>
      </c>
      <c r="B610" t="s">
        <v>56</v>
      </c>
      <c r="C610" t="s">
        <v>57</v>
      </c>
      <c r="D610" s="6">
        <v>46059</v>
      </c>
      <c r="E610" t="s">
        <v>31</v>
      </c>
      <c r="F610" t="s">
        <v>59</v>
      </c>
      <c r="G610" t="s">
        <v>81</v>
      </c>
      <c r="H610" t="s">
        <v>54</v>
      </c>
      <c r="I610">
        <v>5</v>
      </c>
      <c r="J610" s="11">
        <v>1164373</v>
      </c>
      <c r="K610" s="11">
        <v>15000</v>
      </c>
      <c r="L610" t="s">
        <v>35</v>
      </c>
      <c r="M610" t="s">
        <v>36</v>
      </c>
      <c r="N610" t="s">
        <v>61</v>
      </c>
    </row>
    <row r="611" spans="1:15" x14ac:dyDescent="0.25">
      <c r="A611" t="s">
        <v>1082</v>
      </c>
      <c r="B611" t="s">
        <v>411</v>
      </c>
      <c r="C611" t="s">
        <v>244</v>
      </c>
      <c r="D611" s="6">
        <v>46192</v>
      </c>
      <c r="E611" t="s">
        <v>31</v>
      </c>
      <c r="F611" t="s">
        <v>42</v>
      </c>
      <c r="G611" t="s">
        <v>46</v>
      </c>
      <c r="H611" t="s">
        <v>34</v>
      </c>
      <c r="I611">
        <v>5</v>
      </c>
      <c r="J611" s="11">
        <v>1349285</v>
      </c>
      <c r="K611" s="11">
        <v>25000</v>
      </c>
      <c r="L611" t="s">
        <v>35</v>
      </c>
      <c r="M611" t="s">
        <v>67</v>
      </c>
      <c r="N611" t="s">
        <v>61</v>
      </c>
    </row>
    <row r="612" spans="1:15" x14ac:dyDescent="0.25">
      <c r="A612" t="s">
        <v>1084</v>
      </c>
      <c r="B612" t="s">
        <v>247</v>
      </c>
      <c r="C612" t="s">
        <v>248</v>
      </c>
      <c r="D612" s="6">
        <v>46051</v>
      </c>
      <c r="E612" t="s">
        <v>80</v>
      </c>
      <c r="F612" t="s">
        <v>32</v>
      </c>
      <c r="G612" t="s">
        <v>46</v>
      </c>
      <c r="H612" t="s">
        <v>66</v>
      </c>
      <c r="I612">
        <v>4</v>
      </c>
      <c r="J612" s="11">
        <v>801044</v>
      </c>
      <c r="K612" s="11">
        <v>0</v>
      </c>
      <c r="L612" t="s">
        <v>35</v>
      </c>
      <c r="M612" t="s">
        <v>36</v>
      </c>
      <c r="N612" t="s">
        <v>61</v>
      </c>
      <c r="O612" t="s">
        <v>1377</v>
      </c>
    </row>
    <row r="613" spans="1:15" x14ac:dyDescent="0.25">
      <c r="A613" t="s">
        <v>1085</v>
      </c>
      <c r="B613" t="s">
        <v>366</v>
      </c>
      <c r="C613" t="s">
        <v>266</v>
      </c>
      <c r="D613" s="6">
        <v>46029</v>
      </c>
      <c r="E613" t="s">
        <v>41</v>
      </c>
      <c r="F613" t="s">
        <v>65</v>
      </c>
      <c r="G613" t="s">
        <v>46</v>
      </c>
      <c r="H613" t="s">
        <v>47</v>
      </c>
      <c r="I613">
        <v>4</v>
      </c>
      <c r="J613" s="11">
        <v>1510755</v>
      </c>
      <c r="K613" s="11">
        <v>0</v>
      </c>
      <c r="L613" t="s">
        <v>35</v>
      </c>
      <c r="M613" t="s">
        <v>71</v>
      </c>
      <c r="N613" t="s">
        <v>61</v>
      </c>
      <c r="O613" t="s">
        <v>1377</v>
      </c>
    </row>
    <row r="614" spans="1:15" hidden="1" x14ac:dyDescent="0.25">
      <c r="A614" t="s">
        <v>1086</v>
      </c>
      <c r="B614" t="s">
        <v>764</v>
      </c>
      <c r="C614" t="s">
        <v>370</v>
      </c>
      <c r="D614" s="6">
        <v>46048</v>
      </c>
      <c r="E614" t="s">
        <v>58</v>
      </c>
      <c r="F614" t="s">
        <v>59</v>
      </c>
      <c r="G614" t="s">
        <v>60</v>
      </c>
      <c r="H614" t="s">
        <v>47</v>
      </c>
      <c r="I614">
        <v>2</v>
      </c>
      <c r="J614" s="11">
        <v>182656</v>
      </c>
      <c r="K614" s="11">
        <v>25000</v>
      </c>
      <c r="L614" t="s">
        <v>35</v>
      </c>
      <c r="M614" t="s">
        <v>49</v>
      </c>
      <c r="N614" t="s">
        <v>37</v>
      </c>
    </row>
    <row r="615" spans="1:15" hidden="1" x14ac:dyDescent="0.25">
      <c r="A615" t="s">
        <v>1087</v>
      </c>
      <c r="B615" t="s">
        <v>256</v>
      </c>
      <c r="C615" t="s">
        <v>257</v>
      </c>
      <c r="D615" s="6">
        <v>46177</v>
      </c>
      <c r="E615" t="s">
        <v>31</v>
      </c>
      <c r="F615" t="s">
        <v>32</v>
      </c>
      <c r="G615" t="s">
        <v>75</v>
      </c>
      <c r="H615" t="s">
        <v>76</v>
      </c>
      <c r="I615">
        <v>4</v>
      </c>
      <c r="J615" s="11">
        <v>123026</v>
      </c>
      <c r="K615" s="11">
        <v>25000</v>
      </c>
      <c r="L615" t="s">
        <v>35</v>
      </c>
      <c r="M615" t="s">
        <v>71</v>
      </c>
      <c r="N615" t="s">
        <v>37</v>
      </c>
    </row>
    <row r="616" spans="1:15" x14ac:dyDescent="0.25">
      <c r="A616" t="s">
        <v>1088</v>
      </c>
      <c r="B616" t="s">
        <v>745</v>
      </c>
      <c r="C616" t="s">
        <v>158</v>
      </c>
      <c r="D616" s="6">
        <v>46194</v>
      </c>
      <c r="E616" t="s">
        <v>31</v>
      </c>
      <c r="F616" t="s">
        <v>42</v>
      </c>
      <c r="G616" t="s">
        <v>85</v>
      </c>
      <c r="H616" t="s">
        <v>76</v>
      </c>
      <c r="I616">
        <v>4</v>
      </c>
      <c r="J616" s="11">
        <v>524323</v>
      </c>
      <c r="K616" s="11">
        <v>35000</v>
      </c>
      <c r="L616" t="s">
        <v>35</v>
      </c>
      <c r="M616" t="s">
        <v>71</v>
      </c>
      <c r="N616" t="s">
        <v>61</v>
      </c>
    </row>
    <row r="617" spans="1:15" hidden="1" x14ac:dyDescent="0.25">
      <c r="A617" t="s">
        <v>1089</v>
      </c>
      <c r="B617" t="s">
        <v>583</v>
      </c>
      <c r="C617" t="s">
        <v>377</v>
      </c>
      <c r="D617" s="6">
        <v>46059</v>
      </c>
      <c r="E617" t="s">
        <v>53</v>
      </c>
      <c r="F617" t="s">
        <v>65</v>
      </c>
      <c r="G617" t="s">
        <v>85</v>
      </c>
      <c r="H617" t="s">
        <v>34</v>
      </c>
      <c r="I617">
        <v>6</v>
      </c>
      <c r="J617" s="11">
        <v>1066032</v>
      </c>
      <c r="K617" s="11">
        <v>0</v>
      </c>
      <c r="L617" t="s">
        <v>35</v>
      </c>
      <c r="N617" t="s">
        <v>37</v>
      </c>
      <c r="O617" t="s">
        <v>1384</v>
      </c>
    </row>
    <row r="618" spans="1:15" hidden="1" x14ac:dyDescent="0.25">
      <c r="A618" t="s">
        <v>1090</v>
      </c>
      <c r="B618" t="s">
        <v>175</v>
      </c>
      <c r="C618" t="s">
        <v>176</v>
      </c>
      <c r="D618" s="6">
        <v>46191</v>
      </c>
      <c r="E618" t="s">
        <v>53</v>
      </c>
      <c r="F618" t="s">
        <v>32</v>
      </c>
      <c r="G618" t="s">
        <v>85</v>
      </c>
      <c r="H618" t="s">
        <v>66</v>
      </c>
      <c r="I618">
        <v>6</v>
      </c>
      <c r="J618" s="11">
        <v>1382939</v>
      </c>
      <c r="K618" s="11">
        <v>25000</v>
      </c>
      <c r="L618" t="s">
        <v>89</v>
      </c>
      <c r="M618" t="s">
        <v>71</v>
      </c>
      <c r="N618" t="s">
        <v>37</v>
      </c>
    </row>
    <row r="619" spans="1:15" x14ac:dyDescent="0.25">
      <c r="A619" t="s">
        <v>1091</v>
      </c>
      <c r="B619" t="s">
        <v>149</v>
      </c>
      <c r="C619" t="s">
        <v>114</v>
      </c>
      <c r="D619" s="6">
        <v>46192</v>
      </c>
      <c r="E619" t="s">
        <v>41</v>
      </c>
      <c r="F619" t="s">
        <v>65</v>
      </c>
      <c r="G619" t="s">
        <v>85</v>
      </c>
      <c r="H619" t="s">
        <v>34</v>
      </c>
      <c r="I619">
        <v>6</v>
      </c>
      <c r="J619" s="11">
        <v>729101</v>
      </c>
      <c r="K619" s="11">
        <v>50000</v>
      </c>
      <c r="L619" t="s">
        <v>245</v>
      </c>
      <c r="M619" t="s">
        <v>67</v>
      </c>
      <c r="N619" t="s">
        <v>61</v>
      </c>
    </row>
    <row r="620" spans="1:15" hidden="1" x14ac:dyDescent="0.25">
      <c r="A620" t="s">
        <v>1092</v>
      </c>
      <c r="B620" t="s">
        <v>135</v>
      </c>
      <c r="C620" t="s">
        <v>136</v>
      </c>
      <c r="D620" s="6">
        <v>46185</v>
      </c>
      <c r="E620" t="s">
        <v>41</v>
      </c>
      <c r="F620" t="s">
        <v>59</v>
      </c>
      <c r="G620" t="s">
        <v>33</v>
      </c>
      <c r="H620" t="s">
        <v>34</v>
      </c>
      <c r="I620">
        <v>2</v>
      </c>
      <c r="J620" s="11">
        <v>263084</v>
      </c>
      <c r="K620" s="11">
        <v>15000</v>
      </c>
      <c r="L620" t="s">
        <v>35</v>
      </c>
      <c r="M620" t="s">
        <v>67</v>
      </c>
      <c r="N620" t="s">
        <v>37</v>
      </c>
    </row>
    <row r="621" spans="1:15" hidden="1" x14ac:dyDescent="0.25">
      <c r="A621" t="s">
        <v>1093</v>
      </c>
      <c r="B621" t="s">
        <v>94</v>
      </c>
      <c r="C621" t="s">
        <v>70</v>
      </c>
      <c r="D621" s="6">
        <v>46077</v>
      </c>
      <c r="E621" t="s">
        <v>80</v>
      </c>
      <c r="F621" t="s">
        <v>32</v>
      </c>
      <c r="G621" t="s">
        <v>33</v>
      </c>
      <c r="H621" t="s">
        <v>34</v>
      </c>
      <c r="I621">
        <v>3</v>
      </c>
      <c r="J621" s="11">
        <v>2020831</v>
      </c>
      <c r="K621" s="11">
        <v>50000</v>
      </c>
      <c r="L621" t="s">
        <v>35</v>
      </c>
      <c r="M621" t="s">
        <v>67</v>
      </c>
      <c r="N621" t="s">
        <v>37</v>
      </c>
    </row>
    <row r="622" spans="1:15" hidden="1" x14ac:dyDescent="0.25">
      <c r="A622" t="s">
        <v>1094</v>
      </c>
      <c r="B622" t="s">
        <v>341</v>
      </c>
      <c r="C622" t="s">
        <v>342</v>
      </c>
      <c r="D622" s="6">
        <v>46147</v>
      </c>
      <c r="E622" t="s">
        <v>53</v>
      </c>
      <c r="F622" t="s">
        <v>32</v>
      </c>
      <c r="G622" t="s">
        <v>81</v>
      </c>
      <c r="H622" t="s">
        <v>66</v>
      </c>
      <c r="I622">
        <v>6</v>
      </c>
      <c r="J622" s="11">
        <v>2422256</v>
      </c>
      <c r="K622" s="11">
        <v>35000</v>
      </c>
      <c r="L622" t="s">
        <v>35</v>
      </c>
      <c r="M622" t="s">
        <v>71</v>
      </c>
      <c r="N622" t="s">
        <v>37</v>
      </c>
    </row>
    <row r="623" spans="1:15" x14ac:dyDescent="0.25">
      <c r="A623" t="s">
        <v>1095</v>
      </c>
      <c r="B623" t="s">
        <v>669</v>
      </c>
      <c r="C623" t="s">
        <v>129</v>
      </c>
      <c r="D623" s="6">
        <v>46029</v>
      </c>
      <c r="E623" t="s">
        <v>58</v>
      </c>
      <c r="F623" t="s">
        <v>65</v>
      </c>
      <c r="G623" t="s">
        <v>46</v>
      </c>
      <c r="H623" t="s">
        <v>66</v>
      </c>
      <c r="I623">
        <v>1</v>
      </c>
      <c r="J623" s="11">
        <v>2398844</v>
      </c>
      <c r="K623" s="11">
        <v>15000</v>
      </c>
      <c r="L623" t="s">
        <v>35</v>
      </c>
      <c r="M623" t="s">
        <v>36</v>
      </c>
      <c r="N623" t="s">
        <v>61</v>
      </c>
    </row>
    <row r="624" spans="1:15" x14ac:dyDescent="0.25">
      <c r="A624" t="s">
        <v>1096</v>
      </c>
      <c r="B624" t="s">
        <v>283</v>
      </c>
      <c r="C624" t="s">
        <v>284</v>
      </c>
      <c r="D624" s="6">
        <v>46111</v>
      </c>
      <c r="E624" t="s">
        <v>53</v>
      </c>
      <c r="F624" t="s">
        <v>42</v>
      </c>
      <c r="G624" t="s">
        <v>60</v>
      </c>
      <c r="H624" t="s">
        <v>76</v>
      </c>
      <c r="I624">
        <v>4</v>
      </c>
      <c r="J624" s="11">
        <v>1407778</v>
      </c>
      <c r="K624" s="11">
        <v>35000</v>
      </c>
      <c r="L624" t="s">
        <v>35</v>
      </c>
      <c r="M624" t="s">
        <v>49</v>
      </c>
      <c r="N624" t="s">
        <v>61</v>
      </c>
    </row>
    <row r="625" spans="1:15" x14ac:dyDescent="0.25">
      <c r="A625" t="s">
        <v>1097</v>
      </c>
      <c r="B625" t="s">
        <v>135</v>
      </c>
      <c r="C625" t="s">
        <v>136</v>
      </c>
      <c r="D625" s="6">
        <v>46197</v>
      </c>
      <c r="E625" t="s">
        <v>53</v>
      </c>
      <c r="F625" t="s">
        <v>42</v>
      </c>
      <c r="G625" t="s">
        <v>46</v>
      </c>
      <c r="H625" t="s">
        <v>76</v>
      </c>
      <c r="I625">
        <v>2</v>
      </c>
      <c r="J625" s="11">
        <v>1050536</v>
      </c>
      <c r="K625" s="11">
        <v>0</v>
      </c>
      <c r="L625" t="s">
        <v>35</v>
      </c>
      <c r="M625" t="s">
        <v>36</v>
      </c>
      <c r="N625" t="s">
        <v>61</v>
      </c>
      <c r="O625" t="s">
        <v>1377</v>
      </c>
    </row>
    <row r="626" spans="1:15" x14ac:dyDescent="0.25">
      <c r="A626" t="s">
        <v>1098</v>
      </c>
      <c r="B626" t="s">
        <v>318</v>
      </c>
      <c r="C626" t="s">
        <v>45</v>
      </c>
      <c r="D626" s="6">
        <v>46159</v>
      </c>
      <c r="E626" t="s">
        <v>31</v>
      </c>
      <c r="F626" t="s">
        <v>32</v>
      </c>
      <c r="G626" t="s">
        <v>85</v>
      </c>
      <c r="H626" t="s">
        <v>54</v>
      </c>
      <c r="I626">
        <v>2</v>
      </c>
      <c r="J626" s="11">
        <v>1641090</v>
      </c>
      <c r="K626" s="11">
        <v>50000</v>
      </c>
      <c r="L626" t="s">
        <v>35</v>
      </c>
      <c r="M626" t="s">
        <v>49</v>
      </c>
      <c r="N626" t="s">
        <v>61</v>
      </c>
    </row>
    <row r="627" spans="1:15" hidden="1" x14ac:dyDescent="0.25">
      <c r="A627" t="s">
        <v>1099</v>
      </c>
      <c r="B627" t="s">
        <v>923</v>
      </c>
      <c r="C627" t="s">
        <v>370</v>
      </c>
      <c r="D627" s="6">
        <v>46185</v>
      </c>
      <c r="E627" t="s">
        <v>31</v>
      </c>
      <c r="F627" t="s">
        <v>32</v>
      </c>
      <c r="G627" t="s">
        <v>81</v>
      </c>
      <c r="H627" t="s">
        <v>47</v>
      </c>
      <c r="I627">
        <v>5</v>
      </c>
      <c r="J627" s="11">
        <v>1068992</v>
      </c>
      <c r="K627" s="11">
        <v>15000</v>
      </c>
      <c r="L627" t="s">
        <v>245</v>
      </c>
      <c r="M627" t="s">
        <v>36</v>
      </c>
      <c r="N627" t="s">
        <v>37</v>
      </c>
    </row>
    <row r="628" spans="1:15" hidden="1" x14ac:dyDescent="0.25">
      <c r="A628" t="s">
        <v>1100</v>
      </c>
      <c r="B628" t="s">
        <v>438</v>
      </c>
      <c r="C628" t="s">
        <v>244</v>
      </c>
      <c r="D628" s="6">
        <v>46156</v>
      </c>
      <c r="E628" t="s">
        <v>80</v>
      </c>
      <c r="F628" t="s">
        <v>65</v>
      </c>
      <c r="G628" t="s">
        <v>81</v>
      </c>
      <c r="H628" t="s">
        <v>66</v>
      </c>
      <c r="I628">
        <v>4</v>
      </c>
      <c r="J628" s="11">
        <v>1886909</v>
      </c>
      <c r="K628" s="11">
        <v>35000</v>
      </c>
      <c r="L628" t="s">
        <v>35</v>
      </c>
      <c r="M628" t="s">
        <v>36</v>
      </c>
      <c r="N628" t="s">
        <v>37</v>
      </c>
    </row>
    <row r="629" spans="1:15" hidden="1" x14ac:dyDescent="0.25">
      <c r="A629" t="s">
        <v>1101</v>
      </c>
      <c r="B629" t="s">
        <v>347</v>
      </c>
      <c r="C629" t="s">
        <v>276</v>
      </c>
      <c r="D629" s="6">
        <v>46179</v>
      </c>
      <c r="E629" t="s">
        <v>31</v>
      </c>
      <c r="F629" t="s">
        <v>42</v>
      </c>
      <c r="G629" t="s">
        <v>60</v>
      </c>
      <c r="H629" t="s">
        <v>34</v>
      </c>
      <c r="I629">
        <v>7</v>
      </c>
      <c r="J629" s="11">
        <v>400241</v>
      </c>
      <c r="K629" s="11">
        <v>0</v>
      </c>
      <c r="L629" t="s">
        <v>35</v>
      </c>
      <c r="M629" t="s">
        <v>67</v>
      </c>
      <c r="N629" t="s">
        <v>37</v>
      </c>
      <c r="O629" t="s">
        <v>1377</v>
      </c>
    </row>
    <row r="630" spans="1:15" x14ac:dyDescent="0.25">
      <c r="A630" t="s">
        <v>1102</v>
      </c>
      <c r="B630" t="s">
        <v>782</v>
      </c>
      <c r="C630" t="s">
        <v>165</v>
      </c>
      <c r="D630" s="6">
        <v>46174</v>
      </c>
      <c r="E630" t="s">
        <v>80</v>
      </c>
      <c r="F630" t="s">
        <v>42</v>
      </c>
      <c r="G630" t="s">
        <v>60</v>
      </c>
      <c r="H630" t="s">
        <v>54</v>
      </c>
      <c r="I630">
        <v>7</v>
      </c>
      <c r="J630" s="11">
        <v>931058</v>
      </c>
      <c r="K630" s="11">
        <v>15000</v>
      </c>
      <c r="L630" t="s">
        <v>35</v>
      </c>
      <c r="M630" t="s">
        <v>67</v>
      </c>
      <c r="N630" t="s">
        <v>61</v>
      </c>
    </row>
    <row r="631" spans="1:15" hidden="1" x14ac:dyDescent="0.25">
      <c r="A631" t="s">
        <v>1103</v>
      </c>
      <c r="B631" t="s">
        <v>874</v>
      </c>
      <c r="C631" t="s">
        <v>393</v>
      </c>
      <c r="D631" s="6">
        <v>46136</v>
      </c>
      <c r="E631" t="s">
        <v>53</v>
      </c>
      <c r="F631" t="s">
        <v>32</v>
      </c>
      <c r="G631" t="s">
        <v>46</v>
      </c>
      <c r="H631" t="s">
        <v>54</v>
      </c>
      <c r="I631">
        <v>7</v>
      </c>
      <c r="J631" s="11">
        <v>717304</v>
      </c>
      <c r="K631" s="11">
        <v>25000</v>
      </c>
      <c r="L631" t="s">
        <v>35</v>
      </c>
      <c r="M631" t="s">
        <v>36</v>
      </c>
      <c r="N631" t="s">
        <v>37</v>
      </c>
    </row>
    <row r="632" spans="1:15" hidden="1" x14ac:dyDescent="0.25">
      <c r="A632" t="s">
        <v>1104</v>
      </c>
      <c r="B632" t="s">
        <v>505</v>
      </c>
      <c r="C632" t="s">
        <v>470</v>
      </c>
      <c r="D632" s="6">
        <v>46192</v>
      </c>
      <c r="E632" t="s">
        <v>41</v>
      </c>
      <c r="F632" t="s">
        <v>42</v>
      </c>
      <c r="G632" t="s">
        <v>81</v>
      </c>
      <c r="H632" t="s">
        <v>66</v>
      </c>
      <c r="I632">
        <v>7</v>
      </c>
      <c r="J632" s="11">
        <v>1958245</v>
      </c>
      <c r="K632" s="11">
        <v>25000</v>
      </c>
      <c r="L632" t="s">
        <v>35</v>
      </c>
      <c r="M632" t="s">
        <v>36</v>
      </c>
      <c r="N632" t="s">
        <v>37</v>
      </c>
    </row>
    <row r="633" spans="1:15" x14ac:dyDescent="0.25">
      <c r="A633" t="s">
        <v>1105</v>
      </c>
      <c r="B633" t="s">
        <v>327</v>
      </c>
      <c r="C633" t="s">
        <v>328</v>
      </c>
      <c r="D633" s="6">
        <v>46120</v>
      </c>
      <c r="E633" t="s">
        <v>41</v>
      </c>
      <c r="F633" t="s">
        <v>32</v>
      </c>
      <c r="G633" t="s">
        <v>85</v>
      </c>
      <c r="H633" t="s">
        <v>76</v>
      </c>
      <c r="I633">
        <v>6</v>
      </c>
      <c r="J633" s="11">
        <v>1191444</v>
      </c>
      <c r="K633" s="11">
        <v>0</v>
      </c>
      <c r="L633" t="s">
        <v>35</v>
      </c>
      <c r="M633" t="s">
        <v>36</v>
      </c>
      <c r="N633" t="s">
        <v>61</v>
      </c>
      <c r="O633" t="s">
        <v>1377</v>
      </c>
    </row>
    <row r="634" spans="1:15" hidden="1" x14ac:dyDescent="0.25">
      <c r="A634" t="s">
        <v>1106</v>
      </c>
      <c r="B634" t="s">
        <v>300</v>
      </c>
      <c r="C634" t="s">
        <v>107</v>
      </c>
      <c r="D634" s="6">
        <v>46177</v>
      </c>
      <c r="E634" t="s">
        <v>41</v>
      </c>
      <c r="F634" t="s">
        <v>59</v>
      </c>
      <c r="G634" t="s">
        <v>81</v>
      </c>
      <c r="H634" t="s">
        <v>54</v>
      </c>
      <c r="I634">
        <v>7</v>
      </c>
      <c r="J634" s="11">
        <v>1640642</v>
      </c>
      <c r="K634" s="11">
        <v>15000</v>
      </c>
      <c r="L634" t="s">
        <v>48</v>
      </c>
      <c r="M634" t="s">
        <v>49</v>
      </c>
      <c r="N634" t="s">
        <v>37</v>
      </c>
    </row>
    <row r="635" spans="1:15" hidden="1" x14ac:dyDescent="0.25">
      <c r="A635" t="s">
        <v>1107</v>
      </c>
      <c r="B635" t="s">
        <v>392</v>
      </c>
      <c r="C635" t="s">
        <v>393</v>
      </c>
      <c r="D635" s="6">
        <v>46093</v>
      </c>
      <c r="E635" t="s">
        <v>80</v>
      </c>
      <c r="F635" t="s">
        <v>65</v>
      </c>
      <c r="G635" t="s">
        <v>81</v>
      </c>
      <c r="H635" t="s">
        <v>54</v>
      </c>
      <c r="I635">
        <v>3</v>
      </c>
      <c r="J635" s="11">
        <v>1175583</v>
      </c>
      <c r="K635" s="11">
        <v>50000</v>
      </c>
      <c r="L635" t="s">
        <v>35</v>
      </c>
      <c r="M635" t="s">
        <v>71</v>
      </c>
      <c r="N635" t="s">
        <v>37</v>
      </c>
    </row>
    <row r="636" spans="1:15" hidden="1" x14ac:dyDescent="0.25">
      <c r="A636" t="s">
        <v>1108</v>
      </c>
      <c r="B636" t="s">
        <v>699</v>
      </c>
      <c r="C636" t="s">
        <v>104</v>
      </c>
      <c r="D636" s="6">
        <v>46172</v>
      </c>
      <c r="E636" t="s">
        <v>41</v>
      </c>
      <c r="F636" t="s">
        <v>59</v>
      </c>
      <c r="G636" t="s">
        <v>46</v>
      </c>
      <c r="H636" t="s">
        <v>76</v>
      </c>
      <c r="I636">
        <v>5</v>
      </c>
      <c r="J636" s="11">
        <v>2196080</v>
      </c>
      <c r="K636" s="11">
        <v>15000</v>
      </c>
      <c r="L636" t="s">
        <v>35</v>
      </c>
      <c r="M636" t="s">
        <v>67</v>
      </c>
      <c r="N636" t="s">
        <v>37</v>
      </c>
    </row>
    <row r="637" spans="1:15" hidden="1" x14ac:dyDescent="0.25">
      <c r="A637" t="s">
        <v>1109</v>
      </c>
      <c r="B637" t="s">
        <v>327</v>
      </c>
      <c r="C637" t="s">
        <v>328</v>
      </c>
      <c r="D637" s="6">
        <v>46177</v>
      </c>
      <c r="E637" t="s">
        <v>58</v>
      </c>
      <c r="F637" t="s">
        <v>42</v>
      </c>
      <c r="G637" t="s">
        <v>33</v>
      </c>
      <c r="H637" t="s">
        <v>76</v>
      </c>
      <c r="I637">
        <v>7</v>
      </c>
      <c r="J637" s="11">
        <v>572136</v>
      </c>
      <c r="K637" s="11">
        <v>50000</v>
      </c>
      <c r="L637" t="s">
        <v>48</v>
      </c>
      <c r="M637" t="s">
        <v>71</v>
      </c>
      <c r="N637" t="s">
        <v>37</v>
      </c>
    </row>
    <row r="638" spans="1:15" x14ac:dyDescent="0.25">
      <c r="A638" t="s">
        <v>1110</v>
      </c>
      <c r="B638" t="s">
        <v>593</v>
      </c>
      <c r="C638" t="s">
        <v>208</v>
      </c>
      <c r="D638" s="6">
        <v>46123</v>
      </c>
      <c r="E638" t="s">
        <v>53</v>
      </c>
      <c r="F638" t="s">
        <v>65</v>
      </c>
      <c r="G638" t="s">
        <v>60</v>
      </c>
      <c r="H638" t="s">
        <v>47</v>
      </c>
      <c r="I638">
        <v>6</v>
      </c>
      <c r="J638" s="11">
        <v>287205</v>
      </c>
      <c r="K638" s="11">
        <v>25000</v>
      </c>
      <c r="L638" t="s">
        <v>48</v>
      </c>
      <c r="M638" t="s">
        <v>71</v>
      </c>
      <c r="N638" t="s">
        <v>61</v>
      </c>
    </row>
    <row r="639" spans="1:15" hidden="1" x14ac:dyDescent="0.25">
      <c r="A639" t="s">
        <v>1111</v>
      </c>
      <c r="B639" t="s">
        <v>161</v>
      </c>
      <c r="C639" t="s">
        <v>136</v>
      </c>
      <c r="D639" s="6">
        <v>46168</v>
      </c>
      <c r="E639" t="s">
        <v>41</v>
      </c>
      <c r="F639" t="s">
        <v>65</v>
      </c>
      <c r="G639" t="s">
        <v>75</v>
      </c>
      <c r="H639" t="s">
        <v>47</v>
      </c>
      <c r="I639">
        <v>6</v>
      </c>
      <c r="J639" s="11">
        <v>878068</v>
      </c>
      <c r="K639" s="11">
        <v>0</v>
      </c>
      <c r="L639" t="s">
        <v>245</v>
      </c>
      <c r="M639" t="s">
        <v>67</v>
      </c>
      <c r="N639" t="s">
        <v>37</v>
      </c>
      <c r="O639" t="s">
        <v>1377</v>
      </c>
    </row>
    <row r="640" spans="1:15" x14ac:dyDescent="0.25">
      <c r="A640" t="s">
        <v>1112</v>
      </c>
      <c r="B640" t="s">
        <v>121</v>
      </c>
      <c r="C640" t="s">
        <v>122</v>
      </c>
      <c r="D640" s="6">
        <v>46197</v>
      </c>
      <c r="E640" t="s">
        <v>80</v>
      </c>
      <c r="F640" t="s">
        <v>59</v>
      </c>
      <c r="G640" t="s">
        <v>75</v>
      </c>
      <c r="H640" t="s">
        <v>66</v>
      </c>
      <c r="I640">
        <v>2</v>
      </c>
      <c r="J640" s="11">
        <v>1563049</v>
      </c>
      <c r="K640" s="11">
        <v>25000</v>
      </c>
      <c r="L640" t="s">
        <v>35</v>
      </c>
      <c r="M640" t="s">
        <v>71</v>
      </c>
      <c r="N640" t="s">
        <v>61</v>
      </c>
    </row>
    <row r="641" spans="1:15" hidden="1" x14ac:dyDescent="0.25">
      <c r="A641" t="s">
        <v>1113</v>
      </c>
      <c r="B641" t="s">
        <v>347</v>
      </c>
      <c r="C641" t="s">
        <v>276</v>
      </c>
      <c r="D641" s="6">
        <v>46165</v>
      </c>
      <c r="E641" t="s">
        <v>31</v>
      </c>
      <c r="F641" t="s">
        <v>59</v>
      </c>
      <c r="G641" t="s">
        <v>81</v>
      </c>
      <c r="H641" t="s">
        <v>66</v>
      </c>
      <c r="I641">
        <v>6</v>
      </c>
      <c r="J641" s="11">
        <v>2415449</v>
      </c>
      <c r="K641" s="11">
        <v>25000</v>
      </c>
      <c r="L641" t="s">
        <v>35</v>
      </c>
      <c r="M641" t="s">
        <v>67</v>
      </c>
      <c r="N641" t="s">
        <v>37</v>
      </c>
    </row>
    <row r="642" spans="1:15" hidden="1" x14ac:dyDescent="0.25">
      <c r="A642" t="s">
        <v>1114</v>
      </c>
      <c r="B642" t="s">
        <v>745</v>
      </c>
      <c r="C642" t="s">
        <v>158</v>
      </c>
      <c r="D642" s="6">
        <v>46160</v>
      </c>
      <c r="E642" t="s">
        <v>58</v>
      </c>
      <c r="F642" t="s">
        <v>59</v>
      </c>
      <c r="G642" t="s">
        <v>33</v>
      </c>
      <c r="H642" t="s">
        <v>76</v>
      </c>
      <c r="I642">
        <v>7</v>
      </c>
      <c r="J642" s="11">
        <v>1074501</v>
      </c>
      <c r="K642" s="11">
        <v>25000</v>
      </c>
      <c r="L642" t="s">
        <v>35</v>
      </c>
      <c r="M642" t="s">
        <v>71</v>
      </c>
      <c r="N642" t="s">
        <v>37</v>
      </c>
    </row>
    <row r="643" spans="1:15" hidden="1" x14ac:dyDescent="0.25">
      <c r="A643" t="s">
        <v>1115</v>
      </c>
      <c r="B643" t="s">
        <v>138</v>
      </c>
      <c r="C643" t="s">
        <v>126</v>
      </c>
      <c r="D643" s="6">
        <v>46070</v>
      </c>
      <c r="E643" t="s">
        <v>41</v>
      </c>
      <c r="F643" t="s">
        <v>32</v>
      </c>
      <c r="G643" t="s">
        <v>85</v>
      </c>
      <c r="H643" t="s">
        <v>34</v>
      </c>
      <c r="I643">
        <v>3</v>
      </c>
      <c r="J643" s="11">
        <v>1725144</v>
      </c>
      <c r="K643" s="11">
        <v>15000</v>
      </c>
      <c r="L643" t="s">
        <v>48</v>
      </c>
      <c r="M643" t="s">
        <v>71</v>
      </c>
      <c r="N643" t="s">
        <v>37</v>
      </c>
    </row>
    <row r="644" spans="1:15" x14ac:dyDescent="0.25">
      <c r="A644" t="s">
        <v>1116</v>
      </c>
      <c r="B644" t="s">
        <v>434</v>
      </c>
      <c r="C644" t="s">
        <v>435</v>
      </c>
      <c r="D644" s="6">
        <v>46051</v>
      </c>
      <c r="E644" t="s">
        <v>53</v>
      </c>
      <c r="F644" t="s">
        <v>32</v>
      </c>
      <c r="G644" t="s">
        <v>46</v>
      </c>
      <c r="H644" t="s">
        <v>76</v>
      </c>
      <c r="I644">
        <v>3</v>
      </c>
      <c r="J644" s="11">
        <v>916035</v>
      </c>
      <c r="K644" s="11">
        <v>50000</v>
      </c>
      <c r="L644" t="s">
        <v>245</v>
      </c>
      <c r="M644" t="s">
        <v>36</v>
      </c>
      <c r="N644" t="s">
        <v>61</v>
      </c>
    </row>
    <row r="645" spans="1:15" hidden="1" x14ac:dyDescent="0.25">
      <c r="A645" t="s">
        <v>1117</v>
      </c>
      <c r="B645" t="s">
        <v>344</v>
      </c>
      <c r="C645" t="s">
        <v>119</v>
      </c>
      <c r="D645" s="6">
        <v>46181</v>
      </c>
      <c r="E645" t="s">
        <v>41</v>
      </c>
      <c r="F645" t="s">
        <v>32</v>
      </c>
      <c r="G645" t="s">
        <v>85</v>
      </c>
      <c r="H645" t="s">
        <v>66</v>
      </c>
      <c r="I645">
        <v>1</v>
      </c>
      <c r="J645" s="11">
        <v>438495</v>
      </c>
      <c r="K645" s="11">
        <v>15000</v>
      </c>
      <c r="L645" t="s">
        <v>35</v>
      </c>
      <c r="M645" t="s">
        <v>36</v>
      </c>
      <c r="N645" t="s">
        <v>37</v>
      </c>
    </row>
    <row r="646" spans="1:15" hidden="1" x14ac:dyDescent="0.25">
      <c r="A646" t="s">
        <v>1118</v>
      </c>
      <c r="B646" t="s">
        <v>344</v>
      </c>
      <c r="C646" t="s">
        <v>119</v>
      </c>
      <c r="D646" s="6">
        <v>46057</v>
      </c>
      <c r="E646" t="s">
        <v>80</v>
      </c>
      <c r="F646" t="s">
        <v>65</v>
      </c>
      <c r="G646" t="s">
        <v>33</v>
      </c>
      <c r="H646" t="s">
        <v>34</v>
      </c>
      <c r="I646">
        <v>7</v>
      </c>
      <c r="J646" s="11">
        <v>1735814</v>
      </c>
      <c r="K646" s="11">
        <v>0</v>
      </c>
      <c r="L646" t="s">
        <v>89</v>
      </c>
      <c r="M646" t="s">
        <v>49</v>
      </c>
      <c r="N646" t="s">
        <v>37</v>
      </c>
      <c r="O646" t="s">
        <v>1377</v>
      </c>
    </row>
    <row r="647" spans="1:15" x14ac:dyDescent="0.25">
      <c r="A647" t="s">
        <v>1121</v>
      </c>
      <c r="B647" t="s">
        <v>784</v>
      </c>
      <c r="C647" t="s">
        <v>136</v>
      </c>
      <c r="D647" s="6">
        <v>46033</v>
      </c>
      <c r="E647" t="s">
        <v>41</v>
      </c>
      <c r="F647" t="s">
        <v>42</v>
      </c>
      <c r="G647" t="s">
        <v>75</v>
      </c>
      <c r="H647" t="s">
        <v>34</v>
      </c>
      <c r="I647">
        <v>2</v>
      </c>
      <c r="J647" s="11">
        <v>1151394</v>
      </c>
      <c r="K647" s="11">
        <v>50000</v>
      </c>
      <c r="L647" t="s">
        <v>35</v>
      </c>
      <c r="M647" t="s">
        <v>67</v>
      </c>
      <c r="N647" t="s">
        <v>61</v>
      </c>
    </row>
    <row r="648" spans="1:15" x14ac:dyDescent="0.25">
      <c r="A648" t="s">
        <v>1122</v>
      </c>
      <c r="B648" t="s">
        <v>811</v>
      </c>
      <c r="C648" t="s">
        <v>470</v>
      </c>
      <c r="D648" s="6">
        <v>46080</v>
      </c>
      <c r="E648" t="s">
        <v>58</v>
      </c>
      <c r="F648" t="s">
        <v>59</v>
      </c>
      <c r="G648" t="s">
        <v>60</v>
      </c>
      <c r="H648" t="s">
        <v>47</v>
      </c>
      <c r="I648">
        <v>2</v>
      </c>
      <c r="J648" s="11">
        <v>1966986</v>
      </c>
      <c r="K648" s="11">
        <v>15000</v>
      </c>
      <c r="L648" t="s">
        <v>35</v>
      </c>
      <c r="M648" t="s">
        <v>67</v>
      </c>
      <c r="N648" t="s">
        <v>61</v>
      </c>
    </row>
    <row r="649" spans="1:15" hidden="1" x14ac:dyDescent="0.25">
      <c r="A649" t="s">
        <v>1123</v>
      </c>
      <c r="B649" t="s">
        <v>100</v>
      </c>
      <c r="C649" t="s">
        <v>101</v>
      </c>
      <c r="D649" s="6">
        <v>46070</v>
      </c>
      <c r="E649" t="s">
        <v>41</v>
      </c>
      <c r="F649" t="s">
        <v>32</v>
      </c>
      <c r="G649" t="s">
        <v>75</v>
      </c>
      <c r="H649" t="s">
        <v>66</v>
      </c>
      <c r="I649">
        <v>4</v>
      </c>
      <c r="J649" s="11">
        <v>2295046</v>
      </c>
      <c r="K649" s="11">
        <v>50000</v>
      </c>
      <c r="L649" t="s">
        <v>35</v>
      </c>
      <c r="M649" t="s">
        <v>71</v>
      </c>
      <c r="N649" t="s">
        <v>37</v>
      </c>
    </row>
    <row r="650" spans="1:15" x14ac:dyDescent="0.25">
      <c r="A650" t="s">
        <v>1124</v>
      </c>
      <c r="B650" t="s">
        <v>450</v>
      </c>
      <c r="C650" t="s">
        <v>219</v>
      </c>
      <c r="D650" s="6">
        <v>46117</v>
      </c>
      <c r="E650" t="s">
        <v>31</v>
      </c>
      <c r="F650" t="s">
        <v>32</v>
      </c>
      <c r="G650" t="s">
        <v>75</v>
      </c>
      <c r="H650" t="s">
        <v>34</v>
      </c>
      <c r="I650">
        <v>3</v>
      </c>
      <c r="J650" s="11">
        <v>1648884</v>
      </c>
      <c r="K650" s="11">
        <v>15000</v>
      </c>
      <c r="L650" t="s">
        <v>35</v>
      </c>
      <c r="M650" t="s">
        <v>67</v>
      </c>
      <c r="N650" t="s">
        <v>61</v>
      </c>
    </row>
    <row r="651" spans="1:15" x14ac:dyDescent="0.25">
      <c r="A651" t="s">
        <v>1126</v>
      </c>
      <c r="B651" t="s">
        <v>932</v>
      </c>
      <c r="C651" t="s">
        <v>727</v>
      </c>
      <c r="D651" s="6">
        <v>46152</v>
      </c>
      <c r="E651" t="s">
        <v>31</v>
      </c>
      <c r="F651" t="s">
        <v>32</v>
      </c>
      <c r="G651" t="s">
        <v>75</v>
      </c>
      <c r="H651" t="s">
        <v>76</v>
      </c>
      <c r="I651">
        <v>3</v>
      </c>
      <c r="J651" s="11">
        <v>2115388</v>
      </c>
      <c r="K651" s="11">
        <v>50000</v>
      </c>
      <c r="L651" t="s">
        <v>35</v>
      </c>
      <c r="M651" t="s">
        <v>71</v>
      </c>
      <c r="N651" t="s">
        <v>61</v>
      </c>
    </row>
    <row r="652" spans="1:15" hidden="1" x14ac:dyDescent="0.25">
      <c r="A652" t="s">
        <v>1127</v>
      </c>
      <c r="B652" t="s">
        <v>83</v>
      </c>
      <c r="C652" t="s">
        <v>84</v>
      </c>
      <c r="D652" s="6">
        <v>46091</v>
      </c>
      <c r="E652" t="s">
        <v>58</v>
      </c>
      <c r="F652" t="s">
        <v>42</v>
      </c>
      <c r="G652" t="s">
        <v>81</v>
      </c>
      <c r="H652" t="s">
        <v>76</v>
      </c>
      <c r="I652">
        <v>5</v>
      </c>
      <c r="J652" s="11">
        <v>343143</v>
      </c>
      <c r="K652" s="11">
        <v>35000</v>
      </c>
      <c r="L652" t="s">
        <v>35</v>
      </c>
      <c r="M652" t="s">
        <v>36</v>
      </c>
      <c r="N652" t="s">
        <v>37</v>
      </c>
    </row>
    <row r="653" spans="1:15" x14ac:dyDescent="0.25">
      <c r="A653" t="s">
        <v>1128</v>
      </c>
      <c r="B653" t="s">
        <v>1129</v>
      </c>
      <c r="C653" t="s">
        <v>208</v>
      </c>
      <c r="D653" s="6">
        <v>46189</v>
      </c>
      <c r="E653" t="s">
        <v>58</v>
      </c>
      <c r="F653" t="s">
        <v>32</v>
      </c>
      <c r="G653" t="s">
        <v>46</v>
      </c>
      <c r="H653" t="s">
        <v>66</v>
      </c>
      <c r="I653">
        <v>4</v>
      </c>
      <c r="J653" s="11">
        <v>361364</v>
      </c>
      <c r="K653" s="11">
        <v>25000</v>
      </c>
      <c r="L653" t="s">
        <v>48</v>
      </c>
      <c r="M653" t="s">
        <v>71</v>
      </c>
      <c r="N653" t="s">
        <v>61</v>
      </c>
    </row>
    <row r="654" spans="1:15" hidden="1" x14ac:dyDescent="0.25">
      <c r="A654" t="s">
        <v>1130</v>
      </c>
      <c r="B654" t="s">
        <v>530</v>
      </c>
      <c r="C654" t="s">
        <v>382</v>
      </c>
      <c r="D654" s="6">
        <v>46176</v>
      </c>
      <c r="E654" t="s">
        <v>41</v>
      </c>
      <c r="F654" t="s">
        <v>42</v>
      </c>
      <c r="G654" t="s">
        <v>75</v>
      </c>
      <c r="H654" t="s">
        <v>47</v>
      </c>
      <c r="I654">
        <v>6</v>
      </c>
      <c r="J654" s="11">
        <v>2178605</v>
      </c>
      <c r="K654" s="11">
        <v>35000</v>
      </c>
      <c r="L654" t="s">
        <v>35</v>
      </c>
      <c r="M654" t="s">
        <v>67</v>
      </c>
      <c r="N654" t="s">
        <v>37</v>
      </c>
    </row>
    <row r="655" spans="1:15" hidden="1" x14ac:dyDescent="0.25">
      <c r="A655" t="s">
        <v>1131</v>
      </c>
      <c r="B655" t="s">
        <v>125</v>
      </c>
      <c r="C655" t="s">
        <v>126</v>
      </c>
      <c r="E655" t="s">
        <v>41</v>
      </c>
      <c r="F655" t="s">
        <v>42</v>
      </c>
      <c r="G655" t="s">
        <v>46</v>
      </c>
      <c r="H655" t="s">
        <v>76</v>
      </c>
      <c r="I655">
        <v>2</v>
      </c>
      <c r="J655" s="11">
        <v>1397841</v>
      </c>
      <c r="K655" s="11">
        <v>25000</v>
      </c>
      <c r="L655" t="s">
        <v>35</v>
      </c>
      <c r="M655" t="s">
        <v>71</v>
      </c>
      <c r="N655" t="s">
        <v>37</v>
      </c>
      <c r="O655" t="s">
        <v>1375</v>
      </c>
    </row>
    <row r="656" spans="1:15" x14ac:dyDescent="0.25">
      <c r="A656" t="s">
        <v>1133</v>
      </c>
      <c r="B656" t="s">
        <v>73</v>
      </c>
      <c r="C656" t="s">
        <v>74</v>
      </c>
      <c r="D656" s="6">
        <v>46024</v>
      </c>
      <c r="E656" t="s">
        <v>53</v>
      </c>
      <c r="F656" t="s">
        <v>65</v>
      </c>
      <c r="G656" t="s">
        <v>46</v>
      </c>
      <c r="H656" t="s">
        <v>47</v>
      </c>
      <c r="I656">
        <v>5</v>
      </c>
      <c r="J656" s="11">
        <v>342176</v>
      </c>
      <c r="K656" s="11">
        <v>25000</v>
      </c>
      <c r="L656" t="s">
        <v>35</v>
      </c>
      <c r="M656" t="s">
        <v>49</v>
      </c>
      <c r="N656" t="s">
        <v>61</v>
      </c>
    </row>
    <row r="657" spans="1:15" x14ac:dyDescent="0.25">
      <c r="A657" t="s">
        <v>1134</v>
      </c>
      <c r="B657" t="s">
        <v>820</v>
      </c>
      <c r="C657" t="s">
        <v>260</v>
      </c>
      <c r="D657" s="6">
        <v>46072</v>
      </c>
      <c r="E657" t="s">
        <v>31</v>
      </c>
      <c r="F657" t="s">
        <v>65</v>
      </c>
      <c r="G657" t="s">
        <v>75</v>
      </c>
      <c r="H657" t="s">
        <v>47</v>
      </c>
      <c r="I657">
        <v>7</v>
      </c>
      <c r="J657" s="11">
        <v>1163540</v>
      </c>
      <c r="K657" s="11">
        <v>50000</v>
      </c>
      <c r="L657" t="s">
        <v>35</v>
      </c>
      <c r="M657" t="s">
        <v>67</v>
      </c>
      <c r="N657" t="s">
        <v>61</v>
      </c>
    </row>
    <row r="658" spans="1:15" x14ac:dyDescent="0.25">
      <c r="A658" t="s">
        <v>1135</v>
      </c>
      <c r="B658" t="s">
        <v>1136</v>
      </c>
      <c r="C658" t="s">
        <v>224</v>
      </c>
      <c r="D658" s="6">
        <v>46045</v>
      </c>
      <c r="E658" t="s">
        <v>41</v>
      </c>
      <c r="F658" t="s">
        <v>59</v>
      </c>
      <c r="G658" t="s">
        <v>75</v>
      </c>
      <c r="H658" t="s">
        <v>47</v>
      </c>
      <c r="I658">
        <v>5</v>
      </c>
      <c r="J658" s="11">
        <v>514941</v>
      </c>
      <c r="K658" s="11">
        <v>35000</v>
      </c>
      <c r="L658" t="s">
        <v>35</v>
      </c>
      <c r="M658" t="s">
        <v>36</v>
      </c>
      <c r="N658" t="s">
        <v>61</v>
      </c>
    </row>
    <row r="659" spans="1:15" hidden="1" x14ac:dyDescent="0.25">
      <c r="A659" t="s">
        <v>1137</v>
      </c>
      <c r="B659" t="s">
        <v>250</v>
      </c>
      <c r="C659" t="s">
        <v>204</v>
      </c>
      <c r="D659" s="6">
        <v>46110</v>
      </c>
      <c r="E659" t="s">
        <v>80</v>
      </c>
      <c r="F659" t="s">
        <v>59</v>
      </c>
      <c r="G659" t="s">
        <v>81</v>
      </c>
      <c r="H659" t="s">
        <v>34</v>
      </c>
      <c r="I659">
        <v>3</v>
      </c>
      <c r="J659" s="11">
        <v>887514</v>
      </c>
      <c r="K659" s="11">
        <v>0</v>
      </c>
      <c r="L659" t="s">
        <v>35</v>
      </c>
      <c r="M659" t="s">
        <v>36</v>
      </c>
      <c r="N659" t="s">
        <v>37</v>
      </c>
      <c r="O659" t="s">
        <v>1377</v>
      </c>
    </row>
    <row r="660" spans="1:15" x14ac:dyDescent="0.25">
      <c r="A660" t="s">
        <v>1138</v>
      </c>
      <c r="B660" t="s">
        <v>573</v>
      </c>
      <c r="C660" t="s">
        <v>195</v>
      </c>
      <c r="D660" s="6">
        <v>46074</v>
      </c>
      <c r="E660" t="s">
        <v>58</v>
      </c>
      <c r="F660" t="s">
        <v>32</v>
      </c>
      <c r="G660" t="s">
        <v>81</v>
      </c>
      <c r="H660" t="s">
        <v>76</v>
      </c>
      <c r="I660">
        <v>6</v>
      </c>
      <c r="J660" s="11">
        <v>1070597</v>
      </c>
      <c r="K660" s="11">
        <v>25000</v>
      </c>
      <c r="L660" t="s">
        <v>35</v>
      </c>
      <c r="M660" t="s">
        <v>67</v>
      </c>
      <c r="N660" t="s">
        <v>61</v>
      </c>
    </row>
    <row r="661" spans="1:15" hidden="1" x14ac:dyDescent="0.25">
      <c r="A661" t="s">
        <v>1139</v>
      </c>
      <c r="B661" t="s">
        <v>63</v>
      </c>
      <c r="C661" t="s">
        <v>64</v>
      </c>
      <c r="E661" t="s">
        <v>58</v>
      </c>
      <c r="F661" t="s">
        <v>65</v>
      </c>
      <c r="G661" t="s">
        <v>33</v>
      </c>
      <c r="H661" t="s">
        <v>47</v>
      </c>
      <c r="I661">
        <v>2</v>
      </c>
      <c r="J661" s="11">
        <v>1685091</v>
      </c>
      <c r="K661" s="11">
        <v>0</v>
      </c>
      <c r="L661" t="s">
        <v>35</v>
      </c>
      <c r="M661" t="s">
        <v>49</v>
      </c>
      <c r="N661" t="s">
        <v>37</v>
      </c>
      <c r="O661" t="s">
        <v>1383</v>
      </c>
    </row>
    <row r="662" spans="1:15" x14ac:dyDescent="0.25">
      <c r="A662" t="s">
        <v>1140</v>
      </c>
      <c r="B662" t="s">
        <v>292</v>
      </c>
      <c r="C662" t="s">
        <v>152</v>
      </c>
      <c r="D662" s="6">
        <v>46168</v>
      </c>
      <c r="E662" t="s">
        <v>53</v>
      </c>
      <c r="F662" t="s">
        <v>59</v>
      </c>
      <c r="G662" t="s">
        <v>85</v>
      </c>
      <c r="H662" t="s">
        <v>76</v>
      </c>
      <c r="I662">
        <v>7</v>
      </c>
      <c r="J662" s="11">
        <v>2482922</v>
      </c>
      <c r="K662" s="11">
        <v>25000</v>
      </c>
      <c r="L662" t="s">
        <v>35</v>
      </c>
      <c r="M662" t="s">
        <v>67</v>
      </c>
      <c r="N662" t="s">
        <v>61</v>
      </c>
    </row>
    <row r="663" spans="1:15" x14ac:dyDescent="0.25">
      <c r="A663" t="s">
        <v>1141</v>
      </c>
      <c r="B663" t="s">
        <v>987</v>
      </c>
      <c r="C663" t="s">
        <v>229</v>
      </c>
      <c r="D663" s="6">
        <v>46047</v>
      </c>
      <c r="E663" t="s">
        <v>31</v>
      </c>
      <c r="F663" t="s">
        <v>42</v>
      </c>
      <c r="G663" t="s">
        <v>60</v>
      </c>
      <c r="H663" t="s">
        <v>54</v>
      </c>
      <c r="I663">
        <v>3</v>
      </c>
      <c r="J663" s="11">
        <v>768737</v>
      </c>
      <c r="K663" s="11">
        <v>50000</v>
      </c>
      <c r="L663" t="s">
        <v>35</v>
      </c>
      <c r="M663" t="s">
        <v>71</v>
      </c>
      <c r="N663" t="s">
        <v>61</v>
      </c>
    </row>
    <row r="664" spans="1:15" x14ac:dyDescent="0.25">
      <c r="A664" t="s">
        <v>1142</v>
      </c>
      <c r="B664" t="s">
        <v>265</v>
      </c>
      <c r="C664" t="s">
        <v>266</v>
      </c>
      <c r="D664" s="6">
        <v>46160</v>
      </c>
      <c r="E664" t="s">
        <v>53</v>
      </c>
      <c r="F664" t="s">
        <v>42</v>
      </c>
      <c r="G664" t="s">
        <v>81</v>
      </c>
      <c r="H664" t="s">
        <v>47</v>
      </c>
      <c r="I664">
        <v>3</v>
      </c>
      <c r="J664" s="11"/>
      <c r="K664" s="11">
        <v>25000</v>
      </c>
      <c r="L664" t="s">
        <v>35</v>
      </c>
      <c r="M664" t="s">
        <v>36</v>
      </c>
      <c r="N664" t="s">
        <v>61</v>
      </c>
      <c r="O664" t="s">
        <v>1374</v>
      </c>
    </row>
    <row r="665" spans="1:15" x14ac:dyDescent="0.25">
      <c r="A665" t="s">
        <v>1143</v>
      </c>
      <c r="B665" t="s">
        <v>44</v>
      </c>
      <c r="C665" t="s">
        <v>45</v>
      </c>
      <c r="D665" s="6">
        <v>46062</v>
      </c>
      <c r="E665" t="s">
        <v>41</v>
      </c>
      <c r="F665" t="s">
        <v>65</v>
      </c>
      <c r="G665" t="s">
        <v>75</v>
      </c>
      <c r="H665" t="s">
        <v>76</v>
      </c>
      <c r="I665">
        <v>6</v>
      </c>
      <c r="J665" s="11">
        <v>1535144</v>
      </c>
      <c r="K665" s="11">
        <v>35000</v>
      </c>
      <c r="L665" t="s">
        <v>35</v>
      </c>
      <c r="M665" t="s">
        <v>36</v>
      </c>
      <c r="N665" t="s">
        <v>61</v>
      </c>
    </row>
    <row r="666" spans="1:15" x14ac:dyDescent="0.25">
      <c r="A666" t="s">
        <v>1144</v>
      </c>
      <c r="B666" t="s">
        <v>858</v>
      </c>
      <c r="C666" t="s">
        <v>64</v>
      </c>
      <c r="D666" s="6">
        <v>46086</v>
      </c>
      <c r="E666" t="s">
        <v>58</v>
      </c>
      <c r="F666" t="s">
        <v>32</v>
      </c>
      <c r="G666" t="s">
        <v>81</v>
      </c>
      <c r="H666" t="s">
        <v>47</v>
      </c>
      <c r="I666">
        <v>2</v>
      </c>
      <c r="J666" s="11">
        <v>1653829</v>
      </c>
      <c r="K666" s="11">
        <v>15000</v>
      </c>
      <c r="L666" t="s">
        <v>89</v>
      </c>
      <c r="M666" t="s">
        <v>49</v>
      </c>
      <c r="N666" t="s">
        <v>61</v>
      </c>
    </row>
    <row r="667" spans="1:15" hidden="1" x14ac:dyDescent="0.25">
      <c r="A667" t="s">
        <v>1145</v>
      </c>
      <c r="B667" t="s">
        <v>532</v>
      </c>
      <c r="C667" t="s">
        <v>98</v>
      </c>
      <c r="D667" s="6">
        <v>46156</v>
      </c>
      <c r="E667" t="s">
        <v>53</v>
      </c>
      <c r="F667" t="s">
        <v>59</v>
      </c>
      <c r="G667" t="s">
        <v>46</v>
      </c>
      <c r="H667" t="s">
        <v>34</v>
      </c>
      <c r="I667">
        <v>5</v>
      </c>
      <c r="J667" s="11">
        <v>501486</v>
      </c>
      <c r="K667" s="11">
        <v>25000</v>
      </c>
      <c r="L667" t="s">
        <v>35</v>
      </c>
      <c r="M667" t="s">
        <v>36</v>
      </c>
      <c r="N667" t="s">
        <v>37</v>
      </c>
    </row>
    <row r="668" spans="1:15" x14ac:dyDescent="0.25">
      <c r="A668" t="s">
        <v>1146</v>
      </c>
      <c r="B668" t="s">
        <v>737</v>
      </c>
      <c r="C668" t="s">
        <v>158</v>
      </c>
      <c r="D668" s="6">
        <v>46057</v>
      </c>
      <c r="E668" t="s">
        <v>41</v>
      </c>
      <c r="F668" t="s">
        <v>59</v>
      </c>
      <c r="G668" t="s">
        <v>81</v>
      </c>
      <c r="H668" t="s">
        <v>47</v>
      </c>
      <c r="I668">
        <v>3</v>
      </c>
      <c r="J668" s="11">
        <v>1998647</v>
      </c>
      <c r="K668" s="11">
        <v>15000</v>
      </c>
      <c r="L668" t="s">
        <v>245</v>
      </c>
      <c r="M668" t="s">
        <v>36</v>
      </c>
      <c r="N668" t="s">
        <v>61</v>
      </c>
    </row>
    <row r="669" spans="1:15" x14ac:dyDescent="0.25">
      <c r="A669" t="s">
        <v>1147</v>
      </c>
      <c r="B669" t="s">
        <v>807</v>
      </c>
      <c r="C669" t="s">
        <v>219</v>
      </c>
      <c r="D669" s="6">
        <v>46049</v>
      </c>
      <c r="E669" t="s">
        <v>80</v>
      </c>
      <c r="F669" t="s">
        <v>65</v>
      </c>
      <c r="G669" t="s">
        <v>46</v>
      </c>
      <c r="H669" t="s">
        <v>54</v>
      </c>
      <c r="I669">
        <v>4</v>
      </c>
      <c r="J669" s="11">
        <v>1468529</v>
      </c>
      <c r="K669" s="11">
        <v>50000</v>
      </c>
      <c r="L669" t="s">
        <v>35</v>
      </c>
      <c r="M669" t="s">
        <v>67</v>
      </c>
      <c r="N669" t="s">
        <v>61</v>
      </c>
    </row>
    <row r="670" spans="1:15" x14ac:dyDescent="0.25">
      <c r="A670" t="s">
        <v>1148</v>
      </c>
      <c r="B670" t="s">
        <v>300</v>
      </c>
      <c r="C670" t="s">
        <v>107</v>
      </c>
      <c r="D670" s="6">
        <v>46101</v>
      </c>
      <c r="E670" t="s">
        <v>58</v>
      </c>
      <c r="F670" t="s">
        <v>65</v>
      </c>
      <c r="G670" t="s">
        <v>33</v>
      </c>
      <c r="H670" t="s">
        <v>47</v>
      </c>
      <c r="I670">
        <v>6</v>
      </c>
      <c r="J670" s="11">
        <v>2396613</v>
      </c>
      <c r="K670" s="11">
        <v>15000</v>
      </c>
      <c r="L670" t="s">
        <v>35</v>
      </c>
      <c r="M670" t="s">
        <v>67</v>
      </c>
      <c r="N670" t="s">
        <v>61</v>
      </c>
    </row>
    <row r="671" spans="1:15" x14ac:dyDescent="0.25">
      <c r="A671" t="s">
        <v>1149</v>
      </c>
      <c r="B671" t="s">
        <v>635</v>
      </c>
      <c r="C671" t="s">
        <v>636</v>
      </c>
      <c r="D671" s="6">
        <v>46160</v>
      </c>
      <c r="E671" t="s">
        <v>53</v>
      </c>
      <c r="F671" t="s">
        <v>32</v>
      </c>
      <c r="G671" t="s">
        <v>75</v>
      </c>
      <c r="H671" t="s">
        <v>54</v>
      </c>
      <c r="I671">
        <v>6</v>
      </c>
      <c r="J671" s="11">
        <v>339929</v>
      </c>
      <c r="K671" s="11">
        <v>35000</v>
      </c>
      <c r="L671" t="s">
        <v>35</v>
      </c>
      <c r="M671" t="s">
        <v>71</v>
      </c>
      <c r="N671" t="s">
        <v>61</v>
      </c>
    </row>
    <row r="672" spans="1:15" x14ac:dyDescent="0.25">
      <c r="A672" t="s">
        <v>1150</v>
      </c>
      <c r="B672" t="s">
        <v>207</v>
      </c>
      <c r="C672" t="s">
        <v>208</v>
      </c>
      <c r="D672" s="6">
        <v>46140</v>
      </c>
      <c r="E672" t="s">
        <v>41</v>
      </c>
      <c r="F672" t="s">
        <v>42</v>
      </c>
      <c r="G672" t="s">
        <v>46</v>
      </c>
      <c r="H672" t="s">
        <v>76</v>
      </c>
      <c r="I672">
        <v>6</v>
      </c>
      <c r="J672" s="11">
        <v>898904</v>
      </c>
      <c r="K672" s="11">
        <v>15000</v>
      </c>
      <c r="L672" t="s">
        <v>35</v>
      </c>
      <c r="M672" t="s">
        <v>36</v>
      </c>
      <c r="N672" t="s">
        <v>61</v>
      </c>
    </row>
    <row r="673" spans="1:15" hidden="1" x14ac:dyDescent="0.25">
      <c r="A673" t="s">
        <v>1152</v>
      </c>
      <c r="B673" t="s">
        <v>56</v>
      </c>
      <c r="C673" t="s">
        <v>57</v>
      </c>
      <c r="D673" s="6">
        <v>46120</v>
      </c>
      <c r="E673" t="s">
        <v>80</v>
      </c>
      <c r="F673" t="s">
        <v>42</v>
      </c>
      <c r="G673" t="s">
        <v>60</v>
      </c>
      <c r="H673" t="s">
        <v>34</v>
      </c>
      <c r="I673">
        <v>3</v>
      </c>
      <c r="J673" s="11">
        <v>984151</v>
      </c>
      <c r="K673" s="11">
        <v>0</v>
      </c>
      <c r="L673" t="s">
        <v>35</v>
      </c>
      <c r="M673" t="s">
        <v>67</v>
      </c>
      <c r="N673" t="s">
        <v>37</v>
      </c>
      <c r="O673" t="s">
        <v>1377</v>
      </c>
    </row>
    <row r="674" spans="1:15" hidden="1" x14ac:dyDescent="0.25">
      <c r="A674" t="s">
        <v>1153</v>
      </c>
      <c r="B674" t="s">
        <v>688</v>
      </c>
      <c r="C674" t="s">
        <v>689</v>
      </c>
      <c r="D674" s="6">
        <v>46125</v>
      </c>
      <c r="E674" t="s">
        <v>80</v>
      </c>
      <c r="F674" t="s">
        <v>59</v>
      </c>
      <c r="G674" t="s">
        <v>75</v>
      </c>
      <c r="H674" t="s">
        <v>76</v>
      </c>
      <c r="I674">
        <v>2</v>
      </c>
      <c r="J674" s="11">
        <v>307723</v>
      </c>
      <c r="K674" s="11">
        <v>15000</v>
      </c>
      <c r="L674" t="s">
        <v>35</v>
      </c>
      <c r="M674" t="s">
        <v>36</v>
      </c>
      <c r="N674" t="s">
        <v>37</v>
      </c>
    </row>
    <row r="675" spans="1:15" hidden="1" x14ac:dyDescent="0.25">
      <c r="A675" t="s">
        <v>1154</v>
      </c>
      <c r="B675" t="s">
        <v>874</v>
      </c>
      <c r="C675" t="s">
        <v>393</v>
      </c>
      <c r="D675" s="6">
        <v>46190</v>
      </c>
      <c r="E675" t="s">
        <v>41</v>
      </c>
      <c r="F675" t="s">
        <v>32</v>
      </c>
      <c r="G675" t="s">
        <v>85</v>
      </c>
      <c r="H675" t="s">
        <v>47</v>
      </c>
      <c r="I675">
        <v>6</v>
      </c>
      <c r="J675" s="11">
        <v>1263429</v>
      </c>
      <c r="K675" s="11">
        <v>35000</v>
      </c>
      <c r="L675" t="s">
        <v>35</v>
      </c>
      <c r="M675" t="s">
        <v>71</v>
      </c>
      <c r="N675" t="s">
        <v>37</v>
      </c>
    </row>
    <row r="676" spans="1:15" x14ac:dyDescent="0.25">
      <c r="A676" t="s">
        <v>1155</v>
      </c>
      <c r="B676" t="s">
        <v>154</v>
      </c>
      <c r="C676" t="s">
        <v>84</v>
      </c>
      <c r="D676" s="6">
        <v>46025</v>
      </c>
      <c r="E676" t="s">
        <v>31</v>
      </c>
      <c r="F676" t="s">
        <v>65</v>
      </c>
      <c r="G676" t="s">
        <v>75</v>
      </c>
      <c r="H676" t="s">
        <v>54</v>
      </c>
      <c r="I676">
        <v>6</v>
      </c>
      <c r="J676" s="11">
        <v>1778715</v>
      </c>
      <c r="K676" s="11">
        <v>0</v>
      </c>
      <c r="L676" t="s">
        <v>35</v>
      </c>
      <c r="M676" t="s">
        <v>67</v>
      </c>
      <c r="N676" t="s">
        <v>61</v>
      </c>
      <c r="O676" t="s">
        <v>1377</v>
      </c>
    </row>
    <row r="677" spans="1:15" hidden="1" x14ac:dyDescent="0.25">
      <c r="A677" t="s">
        <v>1156</v>
      </c>
      <c r="B677" t="s">
        <v>764</v>
      </c>
      <c r="C677" t="s">
        <v>370</v>
      </c>
      <c r="D677" s="6">
        <v>46148</v>
      </c>
      <c r="E677" t="s">
        <v>80</v>
      </c>
      <c r="F677" t="s">
        <v>59</v>
      </c>
      <c r="G677" t="s">
        <v>33</v>
      </c>
      <c r="H677" t="s">
        <v>76</v>
      </c>
      <c r="I677">
        <v>5</v>
      </c>
      <c r="J677" s="11">
        <v>398922</v>
      </c>
      <c r="K677" s="11">
        <v>15000</v>
      </c>
      <c r="L677" t="s">
        <v>35</v>
      </c>
      <c r="M677" t="s">
        <v>49</v>
      </c>
      <c r="N677" t="s">
        <v>37</v>
      </c>
    </row>
    <row r="678" spans="1:15" x14ac:dyDescent="0.25">
      <c r="A678" t="s">
        <v>1157</v>
      </c>
      <c r="B678" t="s">
        <v>302</v>
      </c>
      <c r="C678" t="s">
        <v>111</v>
      </c>
      <c r="D678" s="6">
        <v>46168</v>
      </c>
      <c r="E678" t="s">
        <v>31</v>
      </c>
      <c r="F678" t="s">
        <v>65</v>
      </c>
      <c r="G678" t="s">
        <v>46</v>
      </c>
      <c r="H678" t="s">
        <v>47</v>
      </c>
      <c r="I678">
        <v>7</v>
      </c>
      <c r="J678" s="11">
        <v>1216807</v>
      </c>
      <c r="K678" s="11">
        <v>0</v>
      </c>
      <c r="L678" t="s">
        <v>35</v>
      </c>
      <c r="M678" t="s">
        <v>71</v>
      </c>
      <c r="N678" t="s">
        <v>61</v>
      </c>
      <c r="O678" t="s">
        <v>1377</v>
      </c>
    </row>
    <row r="679" spans="1:15" x14ac:dyDescent="0.25">
      <c r="A679" t="s">
        <v>1158</v>
      </c>
      <c r="B679" t="s">
        <v>39</v>
      </c>
      <c r="C679" t="s">
        <v>40</v>
      </c>
      <c r="D679" s="6">
        <v>46155</v>
      </c>
      <c r="E679" t="s">
        <v>41</v>
      </c>
      <c r="F679" t="s">
        <v>42</v>
      </c>
      <c r="G679" t="s">
        <v>81</v>
      </c>
      <c r="H679" t="s">
        <v>54</v>
      </c>
      <c r="I679">
        <v>4</v>
      </c>
      <c r="J679" s="11">
        <v>269716</v>
      </c>
      <c r="K679" s="11">
        <v>35000</v>
      </c>
      <c r="L679" t="s">
        <v>35</v>
      </c>
      <c r="M679" t="s">
        <v>67</v>
      </c>
      <c r="N679" t="s">
        <v>61</v>
      </c>
    </row>
    <row r="680" spans="1:15" x14ac:dyDescent="0.25">
      <c r="A680" t="s">
        <v>1159</v>
      </c>
      <c r="B680" t="s">
        <v>417</v>
      </c>
      <c r="C680" t="s">
        <v>70</v>
      </c>
      <c r="D680" s="6">
        <v>46180</v>
      </c>
      <c r="E680" t="s">
        <v>58</v>
      </c>
      <c r="F680" t="s">
        <v>42</v>
      </c>
      <c r="G680" t="s">
        <v>85</v>
      </c>
      <c r="H680" t="s">
        <v>66</v>
      </c>
      <c r="J680" s="11">
        <v>1675675</v>
      </c>
      <c r="K680" s="11">
        <v>35000</v>
      </c>
      <c r="L680" t="s">
        <v>35</v>
      </c>
      <c r="M680" t="s">
        <v>36</v>
      </c>
      <c r="N680" t="s">
        <v>61</v>
      </c>
      <c r="O680" t="s">
        <v>1376</v>
      </c>
    </row>
    <row r="681" spans="1:15" x14ac:dyDescent="0.25">
      <c r="A681" t="s">
        <v>1160</v>
      </c>
      <c r="B681" t="s">
        <v>413</v>
      </c>
      <c r="C681" t="s">
        <v>122</v>
      </c>
      <c r="D681" s="6">
        <v>46026</v>
      </c>
      <c r="E681" t="s">
        <v>31</v>
      </c>
      <c r="F681" t="s">
        <v>65</v>
      </c>
      <c r="G681" t="s">
        <v>60</v>
      </c>
      <c r="H681" t="s">
        <v>47</v>
      </c>
      <c r="I681">
        <v>7</v>
      </c>
      <c r="J681" s="11">
        <v>760514</v>
      </c>
      <c r="K681" s="11">
        <v>25000</v>
      </c>
      <c r="L681" t="s">
        <v>89</v>
      </c>
      <c r="M681" t="s">
        <v>71</v>
      </c>
      <c r="N681" t="s">
        <v>61</v>
      </c>
    </row>
    <row r="682" spans="1:15" x14ac:dyDescent="0.25">
      <c r="A682" t="s">
        <v>1161</v>
      </c>
      <c r="B682" t="s">
        <v>330</v>
      </c>
      <c r="C682" t="s">
        <v>98</v>
      </c>
      <c r="D682" s="6">
        <v>46152</v>
      </c>
      <c r="E682" t="s">
        <v>41</v>
      </c>
      <c r="F682" t="s">
        <v>65</v>
      </c>
      <c r="G682" t="s">
        <v>60</v>
      </c>
      <c r="H682" t="s">
        <v>54</v>
      </c>
      <c r="I682">
        <v>2</v>
      </c>
      <c r="J682" s="11">
        <v>386964</v>
      </c>
      <c r="K682" s="11">
        <v>15000</v>
      </c>
      <c r="L682" t="s">
        <v>35</v>
      </c>
      <c r="M682" t="s">
        <v>67</v>
      </c>
      <c r="N682" t="s">
        <v>61</v>
      </c>
    </row>
    <row r="683" spans="1:15" hidden="1" x14ac:dyDescent="0.25">
      <c r="A683" t="s">
        <v>1162</v>
      </c>
      <c r="B683" t="s">
        <v>44</v>
      </c>
      <c r="C683" t="s">
        <v>45</v>
      </c>
      <c r="D683" s="6">
        <v>46158</v>
      </c>
      <c r="E683" t="s">
        <v>58</v>
      </c>
      <c r="F683" t="s">
        <v>65</v>
      </c>
      <c r="G683" t="s">
        <v>75</v>
      </c>
      <c r="H683" t="s">
        <v>54</v>
      </c>
      <c r="I683">
        <v>2</v>
      </c>
      <c r="J683" s="11">
        <v>1327148</v>
      </c>
      <c r="K683" s="11">
        <v>50000</v>
      </c>
      <c r="L683" t="s">
        <v>35</v>
      </c>
      <c r="M683" t="s">
        <v>49</v>
      </c>
      <c r="N683" t="s">
        <v>37</v>
      </c>
    </row>
    <row r="684" spans="1:15" x14ac:dyDescent="0.25">
      <c r="A684" t="s">
        <v>1163</v>
      </c>
      <c r="B684" t="s">
        <v>913</v>
      </c>
      <c r="C684" t="s">
        <v>309</v>
      </c>
      <c r="D684" s="6">
        <v>46159</v>
      </c>
      <c r="E684" t="s">
        <v>80</v>
      </c>
      <c r="F684" t="s">
        <v>65</v>
      </c>
      <c r="G684" t="s">
        <v>85</v>
      </c>
      <c r="H684" t="s">
        <v>54</v>
      </c>
      <c r="I684">
        <v>6</v>
      </c>
      <c r="J684" s="11">
        <v>193240</v>
      </c>
      <c r="K684" s="11">
        <v>50000</v>
      </c>
      <c r="L684" t="s">
        <v>35</v>
      </c>
      <c r="M684" t="s">
        <v>49</v>
      </c>
      <c r="N684" t="s">
        <v>61</v>
      </c>
    </row>
    <row r="685" spans="1:15" x14ac:dyDescent="0.25">
      <c r="A685" t="s">
        <v>1164</v>
      </c>
      <c r="B685" t="s">
        <v>116</v>
      </c>
      <c r="C685" t="s">
        <v>74</v>
      </c>
      <c r="D685" s="6">
        <v>46120</v>
      </c>
      <c r="E685" t="s">
        <v>31</v>
      </c>
      <c r="F685" t="s">
        <v>65</v>
      </c>
      <c r="G685" t="s">
        <v>46</v>
      </c>
      <c r="H685" t="s">
        <v>76</v>
      </c>
      <c r="I685">
        <v>1</v>
      </c>
      <c r="J685" s="11">
        <v>134348</v>
      </c>
      <c r="K685" s="11">
        <v>50000</v>
      </c>
      <c r="L685" t="s">
        <v>48</v>
      </c>
      <c r="M685" t="s">
        <v>36</v>
      </c>
      <c r="N685" t="s">
        <v>61</v>
      </c>
    </row>
    <row r="686" spans="1:15" hidden="1" x14ac:dyDescent="0.25">
      <c r="A686" t="s">
        <v>1165</v>
      </c>
      <c r="B686" t="s">
        <v>681</v>
      </c>
      <c r="C686" t="s">
        <v>57</v>
      </c>
      <c r="D686" s="6">
        <v>46189</v>
      </c>
      <c r="E686" t="s">
        <v>41</v>
      </c>
      <c r="F686" t="s">
        <v>59</v>
      </c>
      <c r="G686" t="s">
        <v>75</v>
      </c>
      <c r="H686" t="s">
        <v>34</v>
      </c>
      <c r="I686">
        <v>6</v>
      </c>
      <c r="J686" s="11">
        <v>2118284</v>
      </c>
      <c r="K686" s="11">
        <v>50000</v>
      </c>
      <c r="L686" t="s">
        <v>35</v>
      </c>
      <c r="M686" t="s">
        <v>36</v>
      </c>
      <c r="N686" t="s">
        <v>37</v>
      </c>
    </row>
    <row r="687" spans="1:15" hidden="1" x14ac:dyDescent="0.25">
      <c r="A687" t="s">
        <v>1166</v>
      </c>
      <c r="B687" t="s">
        <v>961</v>
      </c>
      <c r="C687" t="s">
        <v>636</v>
      </c>
      <c r="D687" s="6">
        <v>46087</v>
      </c>
      <c r="E687" t="s">
        <v>53</v>
      </c>
      <c r="F687" t="s">
        <v>32</v>
      </c>
      <c r="G687" t="s">
        <v>85</v>
      </c>
      <c r="H687" t="s">
        <v>34</v>
      </c>
      <c r="I687">
        <v>4</v>
      </c>
      <c r="J687" s="11">
        <v>1567648</v>
      </c>
      <c r="K687" s="11">
        <v>35000</v>
      </c>
      <c r="L687" t="s">
        <v>245</v>
      </c>
      <c r="M687" t="s">
        <v>67</v>
      </c>
      <c r="N687" t="s">
        <v>37</v>
      </c>
    </row>
    <row r="688" spans="1:15" hidden="1" x14ac:dyDescent="0.25">
      <c r="A688" t="s">
        <v>1167</v>
      </c>
      <c r="B688" t="s">
        <v>138</v>
      </c>
      <c r="C688" t="s">
        <v>126</v>
      </c>
      <c r="D688" s="6">
        <v>46067</v>
      </c>
      <c r="E688" t="s">
        <v>80</v>
      </c>
      <c r="F688" t="s">
        <v>42</v>
      </c>
      <c r="G688" t="s">
        <v>81</v>
      </c>
      <c r="H688" t="s">
        <v>47</v>
      </c>
      <c r="I688">
        <v>2</v>
      </c>
      <c r="J688" s="11">
        <v>1749284</v>
      </c>
      <c r="K688" s="11">
        <v>25000</v>
      </c>
      <c r="L688" t="s">
        <v>35</v>
      </c>
      <c r="M688" t="s">
        <v>67</v>
      </c>
      <c r="N688" t="s">
        <v>37</v>
      </c>
    </row>
    <row r="689" spans="1:15" hidden="1" x14ac:dyDescent="0.25">
      <c r="A689" t="s">
        <v>1168</v>
      </c>
      <c r="B689" t="s">
        <v>707</v>
      </c>
      <c r="C689" t="s">
        <v>70</v>
      </c>
      <c r="D689" s="6">
        <v>46161</v>
      </c>
      <c r="E689" t="s">
        <v>41</v>
      </c>
      <c r="F689" t="s">
        <v>59</v>
      </c>
      <c r="G689" t="s">
        <v>60</v>
      </c>
      <c r="H689" t="s">
        <v>47</v>
      </c>
      <c r="I689">
        <v>2</v>
      </c>
      <c r="J689" s="11">
        <v>1072046</v>
      </c>
      <c r="K689" s="11">
        <v>35000</v>
      </c>
      <c r="L689" t="s">
        <v>48</v>
      </c>
      <c r="M689" t="s">
        <v>49</v>
      </c>
      <c r="N689" t="s">
        <v>37</v>
      </c>
    </row>
    <row r="690" spans="1:15" x14ac:dyDescent="0.25">
      <c r="A690" t="s">
        <v>1170</v>
      </c>
      <c r="B690" t="s">
        <v>438</v>
      </c>
      <c r="C690" t="s">
        <v>244</v>
      </c>
      <c r="D690" s="6">
        <v>46141</v>
      </c>
      <c r="E690" t="s">
        <v>53</v>
      </c>
      <c r="F690" t="s">
        <v>42</v>
      </c>
      <c r="G690" t="s">
        <v>85</v>
      </c>
      <c r="H690" t="s">
        <v>34</v>
      </c>
      <c r="I690">
        <v>3</v>
      </c>
      <c r="J690" s="11">
        <v>1644882</v>
      </c>
      <c r="K690" s="11">
        <v>25000</v>
      </c>
      <c r="L690" t="s">
        <v>35</v>
      </c>
      <c r="M690" t="s">
        <v>67</v>
      </c>
      <c r="N690" t="s">
        <v>61</v>
      </c>
    </row>
    <row r="691" spans="1:15" hidden="1" x14ac:dyDescent="0.25">
      <c r="A691" t="s">
        <v>1171</v>
      </c>
      <c r="B691" t="s">
        <v>413</v>
      </c>
      <c r="C691" t="s">
        <v>122</v>
      </c>
      <c r="D691" s="6">
        <v>46072</v>
      </c>
      <c r="E691" t="s">
        <v>80</v>
      </c>
      <c r="F691" t="s">
        <v>42</v>
      </c>
      <c r="G691" t="s">
        <v>60</v>
      </c>
      <c r="H691" t="s">
        <v>34</v>
      </c>
      <c r="I691">
        <v>5</v>
      </c>
      <c r="J691" s="11">
        <v>1644272</v>
      </c>
      <c r="K691" s="11">
        <v>35000</v>
      </c>
      <c r="L691" t="s">
        <v>48</v>
      </c>
      <c r="M691" t="s">
        <v>71</v>
      </c>
      <c r="N691" t="s">
        <v>37</v>
      </c>
    </row>
    <row r="692" spans="1:15" x14ac:dyDescent="0.25">
      <c r="A692" t="s">
        <v>1173</v>
      </c>
      <c r="B692" t="s">
        <v>887</v>
      </c>
      <c r="C692" t="s">
        <v>888</v>
      </c>
      <c r="D692" s="6">
        <v>46161</v>
      </c>
      <c r="E692" t="s">
        <v>31</v>
      </c>
      <c r="F692" t="s">
        <v>42</v>
      </c>
      <c r="G692" t="s">
        <v>33</v>
      </c>
      <c r="H692" t="s">
        <v>76</v>
      </c>
      <c r="I692">
        <v>7</v>
      </c>
      <c r="J692" s="11">
        <v>2017166</v>
      </c>
      <c r="K692" s="11">
        <v>25000</v>
      </c>
      <c r="L692" t="s">
        <v>89</v>
      </c>
      <c r="M692" t="s">
        <v>71</v>
      </c>
      <c r="N692" t="s">
        <v>61</v>
      </c>
    </row>
    <row r="693" spans="1:15" hidden="1" x14ac:dyDescent="0.25">
      <c r="A693" t="s">
        <v>1174</v>
      </c>
      <c r="B693" t="s">
        <v>446</v>
      </c>
      <c r="C693" t="s">
        <v>98</v>
      </c>
      <c r="D693" s="6">
        <v>46121</v>
      </c>
      <c r="E693" t="s">
        <v>31</v>
      </c>
      <c r="F693" t="s">
        <v>59</v>
      </c>
      <c r="G693" t="s">
        <v>46</v>
      </c>
      <c r="H693" t="s">
        <v>34</v>
      </c>
      <c r="I693">
        <v>2</v>
      </c>
      <c r="J693" s="11">
        <v>2290555</v>
      </c>
      <c r="K693" s="11">
        <v>35000</v>
      </c>
      <c r="L693" t="s">
        <v>245</v>
      </c>
      <c r="M693" t="s">
        <v>67</v>
      </c>
      <c r="N693" t="s">
        <v>37</v>
      </c>
    </row>
    <row r="694" spans="1:15" hidden="1" x14ac:dyDescent="0.25">
      <c r="A694" t="s">
        <v>1175</v>
      </c>
      <c r="B694" t="s">
        <v>167</v>
      </c>
      <c r="C694" t="s">
        <v>84</v>
      </c>
      <c r="D694" s="6">
        <v>46197</v>
      </c>
      <c r="E694" t="s">
        <v>31</v>
      </c>
      <c r="F694" t="s">
        <v>42</v>
      </c>
      <c r="G694" t="s">
        <v>60</v>
      </c>
      <c r="H694" t="s">
        <v>66</v>
      </c>
      <c r="I694">
        <v>6</v>
      </c>
      <c r="J694" s="11">
        <v>2482919</v>
      </c>
      <c r="K694" s="11">
        <v>15000</v>
      </c>
      <c r="L694" t="s">
        <v>35</v>
      </c>
      <c r="M694" t="s">
        <v>71</v>
      </c>
      <c r="N694" t="s">
        <v>37</v>
      </c>
    </row>
    <row r="695" spans="1:15" x14ac:dyDescent="0.25">
      <c r="A695" t="s">
        <v>1176</v>
      </c>
      <c r="B695" t="s">
        <v>699</v>
      </c>
      <c r="C695" t="s">
        <v>104</v>
      </c>
      <c r="D695" s="6">
        <v>46056</v>
      </c>
      <c r="E695" t="s">
        <v>58</v>
      </c>
      <c r="F695" t="s">
        <v>65</v>
      </c>
      <c r="G695" t="s">
        <v>81</v>
      </c>
      <c r="H695" t="s">
        <v>54</v>
      </c>
      <c r="I695">
        <v>5</v>
      </c>
      <c r="J695" s="11">
        <v>2161304</v>
      </c>
      <c r="K695" s="11">
        <v>25000</v>
      </c>
      <c r="L695" t="s">
        <v>245</v>
      </c>
      <c r="M695" t="s">
        <v>36</v>
      </c>
      <c r="N695" t="s">
        <v>61</v>
      </c>
    </row>
    <row r="696" spans="1:15" hidden="1" x14ac:dyDescent="0.25">
      <c r="A696" t="s">
        <v>1177</v>
      </c>
      <c r="B696" t="s">
        <v>618</v>
      </c>
      <c r="C696" t="s">
        <v>133</v>
      </c>
      <c r="D696" s="6">
        <v>46036</v>
      </c>
      <c r="E696" t="s">
        <v>31</v>
      </c>
      <c r="F696" t="s">
        <v>42</v>
      </c>
      <c r="G696" t="s">
        <v>33</v>
      </c>
      <c r="H696" t="s">
        <v>54</v>
      </c>
      <c r="I696">
        <v>3</v>
      </c>
      <c r="J696" s="11">
        <v>1510447</v>
      </c>
      <c r="K696" s="11">
        <v>0</v>
      </c>
      <c r="L696" t="s">
        <v>245</v>
      </c>
      <c r="M696" t="s">
        <v>36</v>
      </c>
      <c r="N696" t="s">
        <v>37</v>
      </c>
      <c r="O696" t="s">
        <v>1377</v>
      </c>
    </row>
    <row r="697" spans="1:15" hidden="1" x14ac:dyDescent="0.25">
      <c r="A697" t="s">
        <v>1178</v>
      </c>
      <c r="B697" t="s">
        <v>1013</v>
      </c>
      <c r="C697" t="s">
        <v>30</v>
      </c>
      <c r="D697" s="6">
        <v>46103</v>
      </c>
      <c r="E697" t="s">
        <v>58</v>
      </c>
      <c r="F697" t="s">
        <v>42</v>
      </c>
      <c r="G697" t="s">
        <v>85</v>
      </c>
      <c r="H697" t="s">
        <v>34</v>
      </c>
      <c r="I697">
        <v>3</v>
      </c>
      <c r="J697" s="11">
        <v>1993247</v>
      </c>
      <c r="K697" s="11">
        <v>35000</v>
      </c>
      <c r="L697" t="s">
        <v>35</v>
      </c>
      <c r="M697" t="s">
        <v>67</v>
      </c>
      <c r="N697" t="s">
        <v>37</v>
      </c>
    </row>
    <row r="698" spans="1:15" hidden="1" x14ac:dyDescent="0.25">
      <c r="A698" t="s">
        <v>1179</v>
      </c>
      <c r="B698" t="s">
        <v>146</v>
      </c>
      <c r="C698" t="s">
        <v>40</v>
      </c>
      <c r="D698" s="6">
        <v>46159</v>
      </c>
      <c r="E698" t="s">
        <v>80</v>
      </c>
      <c r="F698" t="s">
        <v>42</v>
      </c>
      <c r="G698" t="s">
        <v>81</v>
      </c>
      <c r="H698" t="s">
        <v>34</v>
      </c>
      <c r="I698">
        <v>5</v>
      </c>
      <c r="J698" s="11">
        <v>1838322</v>
      </c>
      <c r="K698" s="11">
        <v>15000</v>
      </c>
      <c r="L698" t="s">
        <v>35</v>
      </c>
      <c r="M698" t="s">
        <v>36</v>
      </c>
      <c r="N698" t="s">
        <v>37</v>
      </c>
    </row>
    <row r="699" spans="1:15" x14ac:dyDescent="0.25">
      <c r="A699" t="s">
        <v>1180</v>
      </c>
      <c r="B699" t="s">
        <v>932</v>
      </c>
      <c r="C699" t="s">
        <v>727</v>
      </c>
      <c r="D699" s="6">
        <v>46033</v>
      </c>
      <c r="E699" t="s">
        <v>58</v>
      </c>
      <c r="F699" t="s">
        <v>32</v>
      </c>
      <c r="G699" t="s">
        <v>60</v>
      </c>
      <c r="H699" t="s">
        <v>76</v>
      </c>
      <c r="I699">
        <v>4</v>
      </c>
      <c r="J699" s="11">
        <v>688742</v>
      </c>
      <c r="K699" s="11">
        <v>35000</v>
      </c>
      <c r="L699" t="s">
        <v>35</v>
      </c>
      <c r="M699" t="s">
        <v>67</v>
      </c>
      <c r="N699" t="s">
        <v>61</v>
      </c>
    </row>
    <row r="700" spans="1:15" hidden="1" x14ac:dyDescent="0.25">
      <c r="A700" t="s">
        <v>1181</v>
      </c>
      <c r="B700" t="s">
        <v>113</v>
      </c>
      <c r="C700" t="s">
        <v>114</v>
      </c>
      <c r="D700" s="6">
        <v>46028</v>
      </c>
      <c r="E700" t="s">
        <v>58</v>
      </c>
      <c r="F700" t="s">
        <v>42</v>
      </c>
      <c r="G700" t="s">
        <v>85</v>
      </c>
      <c r="H700" t="s">
        <v>76</v>
      </c>
      <c r="I700">
        <v>3</v>
      </c>
      <c r="J700" s="11">
        <v>2182620</v>
      </c>
      <c r="K700" s="11">
        <v>50000</v>
      </c>
      <c r="L700" t="s">
        <v>48</v>
      </c>
      <c r="M700" t="s">
        <v>49</v>
      </c>
      <c r="N700" t="s">
        <v>37</v>
      </c>
    </row>
    <row r="701" spans="1:15" hidden="1" x14ac:dyDescent="0.25">
      <c r="A701" t="s">
        <v>1182</v>
      </c>
      <c r="B701" t="s">
        <v>399</v>
      </c>
      <c r="C701" t="s">
        <v>111</v>
      </c>
      <c r="D701" s="6">
        <v>46123</v>
      </c>
      <c r="E701" t="s">
        <v>80</v>
      </c>
      <c r="F701" t="s">
        <v>65</v>
      </c>
      <c r="G701" t="s">
        <v>33</v>
      </c>
      <c r="H701" t="s">
        <v>76</v>
      </c>
      <c r="I701">
        <v>7</v>
      </c>
      <c r="J701" s="11">
        <v>746989</v>
      </c>
      <c r="K701" s="11">
        <v>0</v>
      </c>
      <c r="L701" t="s">
        <v>89</v>
      </c>
      <c r="M701" t="s">
        <v>71</v>
      </c>
      <c r="N701" t="s">
        <v>37</v>
      </c>
      <c r="O701" t="s">
        <v>1377</v>
      </c>
    </row>
    <row r="702" spans="1:15" x14ac:dyDescent="0.25">
      <c r="A702" t="s">
        <v>1183</v>
      </c>
      <c r="B702" t="s">
        <v>434</v>
      </c>
      <c r="C702" t="s">
        <v>435</v>
      </c>
      <c r="D702" s="6">
        <v>46271</v>
      </c>
      <c r="E702" t="s">
        <v>53</v>
      </c>
      <c r="F702" t="s">
        <v>65</v>
      </c>
      <c r="G702" t="s">
        <v>60</v>
      </c>
      <c r="H702" t="s">
        <v>66</v>
      </c>
      <c r="I702">
        <v>3</v>
      </c>
      <c r="J702" s="11">
        <v>1872122</v>
      </c>
      <c r="K702" s="11">
        <v>15000</v>
      </c>
      <c r="L702" t="s">
        <v>48</v>
      </c>
      <c r="M702" t="s">
        <v>36</v>
      </c>
      <c r="N702" t="s">
        <v>61</v>
      </c>
    </row>
    <row r="703" spans="1:15" x14ac:dyDescent="0.25">
      <c r="A703" t="s">
        <v>1185</v>
      </c>
      <c r="B703" t="s">
        <v>296</v>
      </c>
      <c r="C703" t="s">
        <v>144</v>
      </c>
      <c r="D703" s="6">
        <v>46189</v>
      </c>
      <c r="E703" t="s">
        <v>58</v>
      </c>
      <c r="F703" t="s">
        <v>32</v>
      </c>
      <c r="G703" t="s">
        <v>75</v>
      </c>
      <c r="H703" t="s">
        <v>47</v>
      </c>
      <c r="I703">
        <v>3</v>
      </c>
      <c r="J703" s="11">
        <v>1121616</v>
      </c>
      <c r="K703" s="11">
        <v>25000</v>
      </c>
      <c r="L703" t="s">
        <v>35</v>
      </c>
      <c r="M703" t="s">
        <v>36</v>
      </c>
      <c r="N703" t="s">
        <v>61</v>
      </c>
    </row>
    <row r="704" spans="1:15" hidden="1" x14ac:dyDescent="0.25">
      <c r="A704" t="s">
        <v>1186</v>
      </c>
      <c r="B704" t="s">
        <v>1187</v>
      </c>
      <c r="C704" t="s">
        <v>309</v>
      </c>
      <c r="D704" s="6">
        <v>46164</v>
      </c>
      <c r="E704" t="s">
        <v>58</v>
      </c>
      <c r="F704" t="s">
        <v>32</v>
      </c>
      <c r="G704" t="s">
        <v>60</v>
      </c>
      <c r="H704" t="s">
        <v>34</v>
      </c>
      <c r="I704">
        <v>7</v>
      </c>
      <c r="J704" s="11">
        <v>251591</v>
      </c>
      <c r="K704" s="11">
        <v>15000</v>
      </c>
      <c r="L704" t="s">
        <v>89</v>
      </c>
      <c r="M704" t="s">
        <v>49</v>
      </c>
      <c r="N704" t="s">
        <v>37</v>
      </c>
    </row>
    <row r="705" spans="1:15" x14ac:dyDescent="0.25">
      <c r="A705" t="s">
        <v>1188</v>
      </c>
      <c r="B705" t="s">
        <v>290</v>
      </c>
      <c r="C705" t="s">
        <v>104</v>
      </c>
      <c r="D705" s="6">
        <v>46122</v>
      </c>
      <c r="E705" t="s">
        <v>53</v>
      </c>
      <c r="F705" t="s">
        <v>59</v>
      </c>
      <c r="G705" t="s">
        <v>60</v>
      </c>
      <c r="H705" t="s">
        <v>66</v>
      </c>
      <c r="I705">
        <v>6</v>
      </c>
      <c r="J705" s="11">
        <v>270924</v>
      </c>
      <c r="K705" s="11">
        <v>25000</v>
      </c>
      <c r="L705" t="s">
        <v>35</v>
      </c>
      <c r="N705" t="s">
        <v>61</v>
      </c>
      <c r="O705" t="s">
        <v>1379</v>
      </c>
    </row>
    <row r="706" spans="1:15" x14ac:dyDescent="0.25">
      <c r="A706" t="s">
        <v>1189</v>
      </c>
      <c r="B706" t="s">
        <v>987</v>
      </c>
      <c r="C706" t="s">
        <v>229</v>
      </c>
      <c r="D706" s="6">
        <v>46089</v>
      </c>
      <c r="E706" t="s">
        <v>41</v>
      </c>
      <c r="F706" t="s">
        <v>65</v>
      </c>
      <c r="G706" t="s">
        <v>75</v>
      </c>
      <c r="H706" t="s">
        <v>66</v>
      </c>
      <c r="I706">
        <v>4</v>
      </c>
      <c r="J706" s="11">
        <v>2436860</v>
      </c>
      <c r="K706" s="11">
        <v>15000</v>
      </c>
      <c r="L706" t="s">
        <v>35</v>
      </c>
      <c r="M706" t="s">
        <v>67</v>
      </c>
      <c r="N706" t="s">
        <v>61</v>
      </c>
    </row>
    <row r="707" spans="1:15" x14ac:dyDescent="0.25">
      <c r="A707" t="s">
        <v>1190</v>
      </c>
      <c r="B707" t="s">
        <v>681</v>
      </c>
      <c r="C707" t="s">
        <v>57</v>
      </c>
      <c r="D707" s="6">
        <v>46055</v>
      </c>
      <c r="E707" t="s">
        <v>53</v>
      </c>
      <c r="F707" t="s">
        <v>42</v>
      </c>
      <c r="G707" t="s">
        <v>81</v>
      </c>
      <c r="H707" t="s">
        <v>54</v>
      </c>
      <c r="I707">
        <v>1</v>
      </c>
      <c r="J707" s="11">
        <v>568998</v>
      </c>
      <c r="K707" s="11">
        <v>15000</v>
      </c>
      <c r="L707" t="s">
        <v>35</v>
      </c>
      <c r="M707" t="s">
        <v>67</v>
      </c>
      <c r="N707" t="s">
        <v>61</v>
      </c>
    </row>
    <row r="708" spans="1:15" x14ac:dyDescent="0.25">
      <c r="A708" t="s">
        <v>1191</v>
      </c>
      <c r="B708" t="s">
        <v>182</v>
      </c>
      <c r="C708" t="s">
        <v>200</v>
      </c>
      <c r="D708" s="6">
        <v>46026</v>
      </c>
      <c r="E708" t="s">
        <v>41</v>
      </c>
      <c r="F708" t="s">
        <v>32</v>
      </c>
      <c r="G708" t="s">
        <v>75</v>
      </c>
      <c r="H708" t="s">
        <v>54</v>
      </c>
      <c r="I708">
        <v>1</v>
      </c>
      <c r="J708" s="11">
        <v>1550823</v>
      </c>
      <c r="K708" s="11">
        <v>50000</v>
      </c>
      <c r="L708" t="s">
        <v>35</v>
      </c>
      <c r="M708" t="s">
        <v>36</v>
      </c>
      <c r="N708" t="s">
        <v>61</v>
      </c>
    </row>
    <row r="709" spans="1:15" x14ac:dyDescent="0.25">
      <c r="A709" t="s">
        <v>1192</v>
      </c>
      <c r="B709" t="s">
        <v>469</v>
      </c>
      <c r="C709" t="s">
        <v>470</v>
      </c>
      <c r="D709" s="6">
        <v>46203</v>
      </c>
      <c r="E709" t="s">
        <v>58</v>
      </c>
      <c r="F709" t="s">
        <v>65</v>
      </c>
      <c r="G709" t="s">
        <v>60</v>
      </c>
      <c r="H709" t="s">
        <v>34</v>
      </c>
      <c r="I709">
        <v>6</v>
      </c>
      <c r="J709" s="11">
        <v>701812</v>
      </c>
      <c r="K709" s="11">
        <v>15000</v>
      </c>
      <c r="L709" t="s">
        <v>245</v>
      </c>
      <c r="M709" t="s">
        <v>67</v>
      </c>
      <c r="N709" t="s">
        <v>61</v>
      </c>
    </row>
    <row r="710" spans="1:15" hidden="1" x14ac:dyDescent="0.25">
      <c r="A710" t="s">
        <v>1193</v>
      </c>
      <c r="B710" t="s">
        <v>1194</v>
      </c>
      <c r="C710" t="s">
        <v>79</v>
      </c>
      <c r="D710" s="6">
        <v>46043</v>
      </c>
      <c r="E710" t="s">
        <v>31</v>
      </c>
      <c r="F710" t="s">
        <v>59</v>
      </c>
      <c r="G710" t="s">
        <v>46</v>
      </c>
      <c r="H710" t="s">
        <v>34</v>
      </c>
      <c r="I710">
        <v>6</v>
      </c>
      <c r="J710" s="11">
        <v>1742780</v>
      </c>
      <c r="K710" s="11">
        <v>25000</v>
      </c>
      <c r="L710" t="s">
        <v>35</v>
      </c>
      <c r="M710" t="s">
        <v>36</v>
      </c>
      <c r="N710" t="s">
        <v>37</v>
      </c>
    </row>
    <row r="711" spans="1:15" x14ac:dyDescent="0.25">
      <c r="A711" t="s">
        <v>1195</v>
      </c>
      <c r="B711" t="s">
        <v>235</v>
      </c>
      <c r="C711" t="s">
        <v>190</v>
      </c>
      <c r="D711" s="6">
        <v>46196</v>
      </c>
      <c r="E711" t="s">
        <v>31</v>
      </c>
      <c r="F711" t="s">
        <v>32</v>
      </c>
      <c r="G711" t="s">
        <v>85</v>
      </c>
      <c r="H711" t="s">
        <v>76</v>
      </c>
      <c r="I711">
        <v>2</v>
      </c>
      <c r="J711" s="11">
        <v>376969</v>
      </c>
      <c r="K711" s="11">
        <v>35000</v>
      </c>
      <c r="L711" t="s">
        <v>35</v>
      </c>
      <c r="M711" t="s">
        <v>67</v>
      </c>
      <c r="N711" t="s">
        <v>61</v>
      </c>
    </row>
    <row r="712" spans="1:15" hidden="1" x14ac:dyDescent="0.25">
      <c r="A712" t="s">
        <v>1196</v>
      </c>
      <c r="B712" t="s">
        <v>384</v>
      </c>
      <c r="C712" t="s">
        <v>385</v>
      </c>
      <c r="D712" s="6">
        <v>46054</v>
      </c>
      <c r="E712" t="s">
        <v>41</v>
      </c>
      <c r="F712" t="s">
        <v>32</v>
      </c>
      <c r="G712" t="s">
        <v>46</v>
      </c>
      <c r="H712" t="s">
        <v>47</v>
      </c>
      <c r="I712">
        <v>2</v>
      </c>
      <c r="J712" s="11">
        <v>437843</v>
      </c>
      <c r="K712" s="11">
        <v>15000</v>
      </c>
      <c r="L712" t="s">
        <v>48</v>
      </c>
      <c r="M712" t="s">
        <v>36</v>
      </c>
      <c r="N712" t="s">
        <v>37</v>
      </c>
    </row>
    <row r="713" spans="1:15" x14ac:dyDescent="0.25">
      <c r="A713" t="s">
        <v>1197</v>
      </c>
      <c r="B713" t="s">
        <v>161</v>
      </c>
      <c r="C713" t="s">
        <v>136</v>
      </c>
      <c r="D713" s="6">
        <v>46132</v>
      </c>
      <c r="E713" t="s">
        <v>80</v>
      </c>
      <c r="F713" t="s">
        <v>32</v>
      </c>
      <c r="G713" t="s">
        <v>85</v>
      </c>
      <c r="H713" t="s">
        <v>54</v>
      </c>
      <c r="I713">
        <v>6</v>
      </c>
      <c r="J713" s="11">
        <v>1172559</v>
      </c>
      <c r="K713" s="11">
        <v>25000</v>
      </c>
      <c r="L713" t="s">
        <v>35</v>
      </c>
      <c r="M713" t="s">
        <v>67</v>
      </c>
      <c r="N713" t="s">
        <v>61</v>
      </c>
    </row>
    <row r="714" spans="1:15" hidden="1" x14ac:dyDescent="0.25">
      <c r="A714" t="s">
        <v>1198</v>
      </c>
      <c r="B714" t="s">
        <v>816</v>
      </c>
      <c r="C714" t="s">
        <v>158</v>
      </c>
      <c r="D714" s="6">
        <v>46149</v>
      </c>
      <c r="E714" t="s">
        <v>41</v>
      </c>
      <c r="F714" t="s">
        <v>65</v>
      </c>
      <c r="G714" t="s">
        <v>75</v>
      </c>
      <c r="H714" t="s">
        <v>54</v>
      </c>
      <c r="I714">
        <v>5</v>
      </c>
      <c r="J714" s="11">
        <v>1563776</v>
      </c>
      <c r="K714" s="11">
        <v>0</v>
      </c>
      <c r="L714" t="s">
        <v>35</v>
      </c>
      <c r="M714" t="s">
        <v>36</v>
      </c>
      <c r="N714" t="s">
        <v>37</v>
      </c>
      <c r="O714" t="s">
        <v>1377</v>
      </c>
    </row>
    <row r="715" spans="1:15" hidden="1" x14ac:dyDescent="0.25">
      <c r="A715" t="s">
        <v>1199</v>
      </c>
      <c r="B715" t="s">
        <v>228</v>
      </c>
      <c r="C715" t="s">
        <v>229</v>
      </c>
      <c r="D715" s="6">
        <v>46115</v>
      </c>
      <c r="E715" t="s">
        <v>80</v>
      </c>
      <c r="F715" t="s">
        <v>59</v>
      </c>
      <c r="G715" t="s">
        <v>33</v>
      </c>
      <c r="H715" t="s">
        <v>47</v>
      </c>
      <c r="I715">
        <v>3</v>
      </c>
      <c r="J715" s="11">
        <v>396315</v>
      </c>
      <c r="K715" s="11">
        <v>50000</v>
      </c>
      <c r="L715" t="s">
        <v>35</v>
      </c>
      <c r="M715" t="s">
        <v>67</v>
      </c>
      <c r="N715" t="s">
        <v>37</v>
      </c>
    </row>
    <row r="716" spans="1:15" hidden="1" x14ac:dyDescent="0.25">
      <c r="A716" t="s">
        <v>1200</v>
      </c>
      <c r="B716" t="s">
        <v>1020</v>
      </c>
      <c r="C716" t="s">
        <v>377</v>
      </c>
      <c r="D716" s="6">
        <v>46148</v>
      </c>
      <c r="E716" t="s">
        <v>58</v>
      </c>
      <c r="F716" t="s">
        <v>32</v>
      </c>
      <c r="G716" t="s">
        <v>60</v>
      </c>
      <c r="H716" t="s">
        <v>47</v>
      </c>
      <c r="I716">
        <v>6</v>
      </c>
      <c r="J716" s="11">
        <v>1434808</v>
      </c>
      <c r="K716" s="11">
        <v>50000</v>
      </c>
      <c r="L716" t="s">
        <v>35</v>
      </c>
      <c r="M716" t="s">
        <v>36</v>
      </c>
      <c r="N716" t="s">
        <v>37</v>
      </c>
    </row>
    <row r="717" spans="1:15" hidden="1" x14ac:dyDescent="0.25">
      <c r="A717" t="s">
        <v>1201</v>
      </c>
      <c r="B717" t="s">
        <v>606</v>
      </c>
      <c r="C717" t="s">
        <v>370</v>
      </c>
      <c r="D717" s="6">
        <v>46126</v>
      </c>
      <c r="E717" t="s">
        <v>41</v>
      </c>
      <c r="F717" t="s">
        <v>59</v>
      </c>
      <c r="G717" t="s">
        <v>81</v>
      </c>
      <c r="H717" t="s">
        <v>34</v>
      </c>
      <c r="I717">
        <v>4</v>
      </c>
      <c r="J717" s="11">
        <v>2064579</v>
      </c>
      <c r="K717" s="11">
        <v>35000</v>
      </c>
      <c r="L717" t="s">
        <v>35</v>
      </c>
      <c r="M717" t="s">
        <v>36</v>
      </c>
      <c r="N717" t="s">
        <v>37</v>
      </c>
    </row>
    <row r="718" spans="1:15" x14ac:dyDescent="0.25">
      <c r="A718" t="s">
        <v>1202</v>
      </c>
      <c r="B718" t="s">
        <v>290</v>
      </c>
      <c r="C718" t="s">
        <v>104</v>
      </c>
      <c r="D718" s="6">
        <v>46184</v>
      </c>
      <c r="E718" t="s">
        <v>31</v>
      </c>
      <c r="F718" t="s">
        <v>42</v>
      </c>
      <c r="G718" t="s">
        <v>46</v>
      </c>
      <c r="H718" t="s">
        <v>34</v>
      </c>
      <c r="I718">
        <v>3</v>
      </c>
      <c r="J718" s="11">
        <v>746561</v>
      </c>
      <c r="K718" s="11">
        <v>35000</v>
      </c>
      <c r="L718" t="s">
        <v>35</v>
      </c>
      <c r="M718" t="s">
        <v>71</v>
      </c>
      <c r="N718" t="s">
        <v>61</v>
      </c>
    </row>
    <row r="719" spans="1:15" hidden="1" x14ac:dyDescent="0.25">
      <c r="A719" t="s">
        <v>1203</v>
      </c>
      <c r="B719" t="s">
        <v>932</v>
      </c>
      <c r="C719" t="s">
        <v>727</v>
      </c>
      <c r="D719" s="6">
        <v>46027</v>
      </c>
      <c r="E719" t="s">
        <v>41</v>
      </c>
      <c r="F719" t="s">
        <v>59</v>
      </c>
      <c r="G719" t="s">
        <v>85</v>
      </c>
      <c r="H719" t="s">
        <v>66</v>
      </c>
      <c r="I719">
        <v>2</v>
      </c>
      <c r="J719" s="11">
        <v>1761196</v>
      </c>
      <c r="K719" s="11">
        <v>35000</v>
      </c>
      <c r="L719" t="s">
        <v>35</v>
      </c>
      <c r="M719" t="s">
        <v>67</v>
      </c>
      <c r="N719" t="s">
        <v>37</v>
      </c>
    </row>
    <row r="720" spans="1:15" hidden="1" x14ac:dyDescent="0.25">
      <c r="A720" t="s">
        <v>1204</v>
      </c>
      <c r="B720" t="s">
        <v>683</v>
      </c>
      <c r="C720" t="s">
        <v>170</v>
      </c>
      <c r="D720" s="6">
        <v>46071</v>
      </c>
      <c r="E720" t="s">
        <v>31</v>
      </c>
      <c r="F720" t="s">
        <v>59</v>
      </c>
      <c r="G720" t="s">
        <v>75</v>
      </c>
      <c r="H720" t="s">
        <v>54</v>
      </c>
      <c r="I720">
        <v>6</v>
      </c>
      <c r="J720" s="11">
        <v>2160674</v>
      </c>
      <c r="K720" s="11">
        <v>50000</v>
      </c>
      <c r="L720" t="s">
        <v>35</v>
      </c>
      <c r="M720" t="s">
        <v>36</v>
      </c>
      <c r="N720" t="s">
        <v>37</v>
      </c>
    </row>
    <row r="721" spans="1:15" x14ac:dyDescent="0.25">
      <c r="A721" t="s">
        <v>1205</v>
      </c>
      <c r="B721" t="s">
        <v>887</v>
      </c>
      <c r="C721" t="s">
        <v>888</v>
      </c>
      <c r="D721" s="6">
        <v>46040</v>
      </c>
      <c r="E721" t="s">
        <v>41</v>
      </c>
      <c r="F721" t="s">
        <v>42</v>
      </c>
      <c r="G721" t="s">
        <v>60</v>
      </c>
      <c r="H721" t="s">
        <v>47</v>
      </c>
      <c r="I721">
        <v>5</v>
      </c>
      <c r="J721" s="11">
        <v>1475945</v>
      </c>
      <c r="K721" s="11">
        <v>35000</v>
      </c>
      <c r="L721" t="s">
        <v>35</v>
      </c>
      <c r="M721" t="s">
        <v>67</v>
      </c>
      <c r="N721" t="s">
        <v>61</v>
      </c>
    </row>
    <row r="722" spans="1:15" hidden="1" x14ac:dyDescent="0.25">
      <c r="A722" t="s">
        <v>1206</v>
      </c>
      <c r="B722" t="s">
        <v>1207</v>
      </c>
      <c r="C722" t="s">
        <v>435</v>
      </c>
      <c r="D722" s="6">
        <v>46184</v>
      </c>
      <c r="E722" t="s">
        <v>53</v>
      </c>
      <c r="F722" t="s">
        <v>65</v>
      </c>
      <c r="G722" t="s">
        <v>46</v>
      </c>
      <c r="H722" t="s">
        <v>34</v>
      </c>
      <c r="I722">
        <v>6</v>
      </c>
      <c r="J722" s="11">
        <v>785226</v>
      </c>
      <c r="K722" s="11">
        <v>25000</v>
      </c>
      <c r="L722" t="s">
        <v>35</v>
      </c>
      <c r="M722" t="s">
        <v>36</v>
      </c>
      <c r="N722" t="s">
        <v>37</v>
      </c>
    </row>
    <row r="723" spans="1:15" x14ac:dyDescent="0.25">
      <c r="A723" t="s">
        <v>1208</v>
      </c>
      <c r="B723" t="s">
        <v>341</v>
      </c>
      <c r="C723" t="s">
        <v>342</v>
      </c>
      <c r="D723" s="6">
        <v>46118</v>
      </c>
      <c r="E723" t="s">
        <v>41</v>
      </c>
      <c r="F723" t="s">
        <v>42</v>
      </c>
      <c r="G723" t="s">
        <v>85</v>
      </c>
      <c r="H723" t="s">
        <v>66</v>
      </c>
      <c r="I723">
        <v>5</v>
      </c>
      <c r="J723" s="11">
        <v>657430</v>
      </c>
      <c r="K723" s="11">
        <v>25000</v>
      </c>
      <c r="L723" t="s">
        <v>89</v>
      </c>
      <c r="M723" t="s">
        <v>71</v>
      </c>
      <c r="N723" t="s">
        <v>61</v>
      </c>
    </row>
    <row r="724" spans="1:15" x14ac:dyDescent="0.25">
      <c r="A724" t="s">
        <v>1209</v>
      </c>
      <c r="B724" t="s">
        <v>1210</v>
      </c>
      <c r="C724" t="s">
        <v>224</v>
      </c>
      <c r="D724" s="6">
        <v>46103</v>
      </c>
      <c r="E724" t="s">
        <v>31</v>
      </c>
      <c r="F724" t="s">
        <v>42</v>
      </c>
      <c r="G724" t="s">
        <v>33</v>
      </c>
      <c r="H724" t="s">
        <v>76</v>
      </c>
      <c r="I724">
        <v>5</v>
      </c>
      <c r="J724" s="11">
        <v>2117275</v>
      </c>
      <c r="K724" s="11">
        <v>25000</v>
      </c>
      <c r="L724" t="s">
        <v>35</v>
      </c>
      <c r="M724" t="s">
        <v>71</v>
      </c>
      <c r="N724" t="s">
        <v>61</v>
      </c>
    </row>
    <row r="725" spans="1:15" hidden="1" x14ac:dyDescent="0.25">
      <c r="A725" t="s">
        <v>1212</v>
      </c>
      <c r="B725" t="s">
        <v>707</v>
      </c>
      <c r="C725" t="s">
        <v>70</v>
      </c>
      <c r="D725" s="6">
        <v>46174</v>
      </c>
      <c r="E725" t="s">
        <v>80</v>
      </c>
      <c r="F725" t="s">
        <v>65</v>
      </c>
      <c r="G725" t="s">
        <v>60</v>
      </c>
      <c r="H725" t="s">
        <v>34</v>
      </c>
      <c r="I725">
        <v>4</v>
      </c>
      <c r="J725" s="11">
        <v>1114125</v>
      </c>
      <c r="K725" s="11">
        <v>15000</v>
      </c>
      <c r="L725" t="s">
        <v>35</v>
      </c>
      <c r="M725" t="s">
        <v>71</v>
      </c>
      <c r="N725" t="s">
        <v>37</v>
      </c>
    </row>
    <row r="726" spans="1:15" x14ac:dyDescent="0.25">
      <c r="A726" t="s">
        <v>1213</v>
      </c>
      <c r="B726" t="s">
        <v>702</v>
      </c>
      <c r="C726" t="s">
        <v>101</v>
      </c>
      <c r="D726" s="6">
        <v>46158</v>
      </c>
      <c r="E726" t="s">
        <v>80</v>
      </c>
      <c r="F726" t="s">
        <v>65</v>
      </c>
      <c r="G726" t="s">
        <v>60</v>
      </c>
      <c r="H726" t="s">
        <v>47</v>
      </c>
      <c r="I726">
        <v>5</v>
      </c>
      <c r="J726" s="11">
        <v>2179153</v>
      </c>
      <c r="K726" s="11">
        <v>35000</v>
      </c>
      <c r="L726" t="s">
        <v>245</v>
      </c>
      <c r="M726" t="s">
        <v>49</v>
      </c>
      <c r="N726" t="s">
        <v>61</v>
      </c>
    </row>
    <row r="727" spans="1:15" hidden="1" x14ac:dyDescent="0.25">
      <c r="A727" t="s">
        <v>1214</v>
      </c>
      <c r="B727" t="s">
        <v>405</v>
      </c>
      <c r="C727" t="s">
        <v>107</v>
      </c>
      <c r="D727" s="6">
        <v>46093</v>
      </c>
      <c r="E727" t="s">
        <v>31</v>
      </c>
      <c r="F727" t="s">
        <v>65</v>
      </c>
      <c r="G727" t="s">
        <v>33</v>
      </c>
      <c r="H727" t="s">
        <v>66</v>
      </c>
      <c r="I727">
        <v>7</v>
      </c>
      <c r="J727" s="11">
        <v>720135</v>
      </c>
      <c r="K727" s="11">
        <v>25000</v>
      </c>
      <c r="L727" t="s">
        <v>35</v>
      </c>
      <c r="M727" t="s">
        <v>36</v>
      </c>
      <c r="N727" t="s">
        <v>37</v>
      </c>
    </row>
    <row r="728" spans="1:15" x14ac:dyDescent="0.25">
      <c r="A728" t="s">
        <v>1215</v>
      </c>
      <c r="B728" t="s">
        <v>1129</v>
      </c>
      <c r="C728" t="s">
        <v>208</v>
      </c>
      <c r="D728" s="6">
        <v>46060</v>
      </c>
      <c r="E728" t="s">
        <v>31</v>
      </c>
      <c r="F728" t="s">
        <v>65</v>
      </c>
      <c r="G728" t="s">
        <v>33</v>
      </c>
      <c r="H728" t="s">
        <v>54</v>
      </c>
      <c r="I728">
        <v>4</v>
      </c>
      <c r="J728" s="11">
        <v>1264028</v>
      </c>
      <c r="K728" s="11">
        <v>25000</v>
      </c>
      <c r="L728" t="s">
        <v>89</v>
      </c>
      <c r="M728" t="s">
        <v>71</v>
      </c>
      <c r="N728" t="s">
        <v>61</v>
      </c>
    </row>
    <row r="729" spans="1:15" x14ac:dyDescent="0.25">
      <c r="A729" t="s">
        <v>1216</v>
      </c>
      <c r="B729" t="s">
        <v>694</v>
      </c>
      <c r="C729" t="s">
        <v>208</v>
      </c>
      <c r="D729" s="6">
        <v>46152</v>
      </c>
      <c r="E729" t="s">
        <v>58</v>
      </c>
      <c r="F729" t="s">
        <v>32</v>
      </c>
      <c r="G729" t="s">
        <v>33</v>
      </c>
      <c r="H729" t="s">
        <v>34</v>
      </c>
      <c r="I729">
        <v>7</v>
      </c>
      <c r="J729" s="11">
        <v>1304707</v>
      </c>
      <c r="K729" s="11">
        <v>15000</v>
      </c>
      <c r="L729" t="s">
        <v>35</v>
      </c>
      <c r="M729" t="s">
        <v>36</v>
      </c>
      <c r="N729" t="s">
        <v>61</v>
      </c>
    </row>
    <row r="730" spans="1:15" x14ac:dyDescent="0.25">
      <c r="A730" t="s">
        <v>1217</v>
      </c>
      <c r="B730" t="s">
        <v>333</v>
      </c>
      <c r="C730" t="s">
        <v>334</v>
      </c>
      <c r="D730" s="6">
        <v>46029</v>
      </c>
      <c r="E730" t="s">
        <v>31</v>
      </c>
      <c r="F730" t="s">
        <v>59</v>
      </c>
      <c r="G730" t="s">
        <v>75</v>
      </c>
      <c r="H730" t="s">
        <v>47</v>
      </c>
      <c r="I730">
        <v>1</v>
      </c>
      <c r="J730" s="11">
        <v>240885</v>
      </c>
      <c r="K730" s="11">
        <v>35000</v>
      </c>
      <c r="L730" t="s">
        <v>35</v>
      </c>
      <c r="M730" t="s">
        <v>71</v>
      </c>
      <c r="N730" t="s">
        <v>61</v>
      </c>
    </row>
    <row r="731" spans="1:15" x14ac:dyDescent="0.25">
      <c r="A731" t="s">
        <v>1218</v>
      </c>
      <c r="B731" t="s">
        <v>1219</v>
      </c>
      <c r="C731" t="s">
        <v>377</v>
      </c>
      <c r="D731" s="6">
        <v>46136</v>
      </c>
      <c r="E731" t="s">
        <v>53</v>
      </c>
      <c r="F731" t="s">
        <v>59</v>
      </c>
      <c r="G731" t="s">
        <v>33</v>
      </c>
      <c r="H731" t="s">
        <v>34</v>
      </c>
      <c r="I731">
        <v>3</v>
      </c>
      <c r="J731" s="11"/>
      <c r="K731" s="11">
        <v>0</v>
      </c>
      <c r="L731" t="s">
        <v>35</v>
      </c>
      <c r="M731" t="s">
        <v>67</v>
      </c>
      <c r="N731" t="s">
        <v>61</v>
      </c>
      <c r="O731" t="s">
        <v>1381</v>
      </c>
    </row>
    <row r="732" spans="1:15" x14ac:dyDescent="0.25">
      <c r="A732" t="s">
        <v>1220</v>
      </c>
      <c r="B732" t="s">
        <v>737</v>
      </c>
      <c r="C732" t="s">
        <v>158</v>
      </c>
      <c r="D732" s="6">
        <v>46027</v>
      </c>
      <c r="E732" t="s">
        <v>31</v>
      </c>
      <c r="F732" t="s">
        <v>32</v>
      </c>
      <c r="G732" t="s">
        <v>75</v>
      </c>
      <c r="H732" t="s">
        <v>47</v>
      </c>
      <c r="I732">
        <v>7</v>
      </c>
      <c r="J732" s="11">
        <v>639736</v>
      </c>
      <c r="K732" s="11">
        <v>0</v>
      </c>
      <c r="L732" t="s">
        <v>35</v>
      </c>
      <c r="M732" t="s">
        <v>36</v>
      </c>
      <c r="N732" t="s">
        <v>61</v>
      </c>
      <c r="O732" t="s">
        <v>1377</v>
      </c>
    </row>
    <row r="733" spans="1:15" x14ac:dyDescent="0.25">
      <c r="A733" t="s">
        <v>1223</v>
      </c>
      <c r="B733" t="s">
        <v>943</v>
      </c>
      <c r="C733" t="s">
        <v>165</v>
      </c>
      <c r="D733" s="6">
        <v>46134</v>
      </c>
      <c r="E733" t="s">
        <v>58</v>
      </c>
      <c r="F733" t="s">
        <v>32</v>
      </c>
      <c r="G733" t="s">
        <v>33</v>
      </c>
      <c r="H733" t="s">
        <v>76</v>
      </c>
      <c r="I733">
        <v>2</v>
      </c>
      <c r="J733" s="11">
        <v>1478468</v>
      </c>
      <c r="K733" s="11">
        <v>35000</v>
      </c>
      <c r="L733" t="s">
        <v>35</v>
      </c>
      <c r="M733" t="s">
        <v>71</v>
      </c>
      <c r="N733" t="s">
        <v>61</v>
      </c>
    </row>
    <row r="734" spans="1:15" x14ac:dyDescent="0.25">
      <c r="A734" t="s">
        <v>1225</v>
      </c>
      <c r="B734" t="s">
        <v>430</v>
      </c>
      <c r="C734" t="s">
        <v>45</v>
      </c>
      <c r="D734" s="6">
        <v>46153</v>
      </c>
      <c r="E734" t="s">
        <v>31</v>
      </c>
      <c r="F734" t="s">
        <v>65</v>
      </c>
      <c r="G734" t="s">
        <v>46</v>
      </c>
      <c r="H734" t="s">
        <v>34</v>
      </c>
      <c r="I734">
        <v>4</v>
      </c>
      <c r="J734" s="11">
        <v>354290</v>
      </c>
      <c r="K734" s="11">
        <v>15000</v>
      </c>
      <c r="L734" t="s">
        <v>35</v>
      </c>
      <c r="M734" t="s">
        <v>67</v>
      </c>
      <c r="N734" t="s">
        <v>61</v>
      </c>
    </row>
    <row r="735" spans="1:15" hidden="1" x14ac:dyDescent="0.25">
      <c r="A735" t="s">
        <v>1226</v>
      </c>
      <c r="B735" t="s">
        <v>651</v>
      </c>
      <c r="C735" t="s">
        <v>70</v>
      </c>
      <c r="D735" s="6">
        <v>46115</v>
      </c>
      <c r="E735" t="s">
        <v>41</v>
      </c>
      <c r="F735" t="s">
        <v>59</v>
      </c>
      <c r="G735" t="s">
        <v>46</v>
      </c>
      <c r="H735" t="s">
        <v>54</v>
      </c>
      <c r="I735">
        <v>1</v>
      </c>
      <c r="J735" s="11">
        <v>1617706</v>
      </c>
      <c r="K735" s="11">
        <v>25000</v>
      </c>
      <c r="L735" t="s">
        <v>35</v>
      </c>
      <c r="M735" t="s">
        <v>36</v>
      </c>
      <c r="N735" t="s">
        <v>37</v>
      </c>
    </row>
    <row r="736" spans="1:15" x14ac:dyDescent="0.25">
      <c r="A736" t="s">
        <v>1227</v>
      </c>
      <c r="B736" t="s">
        <v>669</v>
      </c>
      <c r="C736" t="s">
        <v>129</v>
      </c>
      <c r="D736" s="6">
        <v>46124</v>
      </c>
      <c r="E736" t="s">
        <v>31</v>
      </c>
      <c r="F736" t="s">
        <v>65</v>
      </c>
      <c r="G736" t="s">
        <v>33</v>
      </c>
      <c r="H736" t="s">
        <v>34</v>
      </c>
      <c r="I736">
        <v>7</v>
      </c>
      <c r="J736" s="11">
        <v>770050</v>
      </c>
      <c r="K736" s="11">
        <v>50000</v>
      </c>
      <c r="L736" t="s">
        <v>35</v>
      </c>
      <c r="M736" t="s">
        <v>67</v>
      </c>
      <c r="N736" t="s">
        <v>61</v>
      </c>
    </row>
    <row r="737" spans="1:15" x14ac:dyDescent="0.25">
      <c r="A737" t="s">
        <v>1228</v>
      </c>
      <c r="B737" t="s">
        <v>469</v>
      </c>
      <c r="C737" t="s">
        <v>470</v>
      </c>
      <c r="D737" s="6">
        <v>46188</v>
      </c>
      <c r="E737" t="s">
        <v>41</v>
      </c>
      <c r="F737" t="s">
        <v>65</v>
      </c>
      <c r="G737" t="s">
        <v>81</v>
      </c>
      <c r="H737" t="s">
        <v>34</v>
      </c>
      <c r="I737">
        <v>1</v>
      </c>
      <c r="J737" s="11">
        <v>2459098</v>
      </c>
      <c r="K737" s="11">
        <v>0</v>
      </c>
      <c r="L737" t="s">
        <v>35</v>
      </c>
      <c r="M737" t="s">
        <v>36</v>
      </c>
      <c r="N737" t="s">
        <v>61</v>
      </c>
      <c r="O737" t="s">
        <v>1377</v>
      </c>
    </row>
    <row r="738" spans="1:15" hidden="1" x14ac:dyDescent="0.25">
      <c r="A738" t="s">
        <v>1229</v>
      </c>
      <c r="B738" t="s">
        <v>638</v>
      </c>
      <c r="C738" t="s">
        <v>241</v>
      </c>
      <c r="D738" s="6">
        <v>46058</v>
      </c>
      <c r="E738" t="s">
        <v>41</v>
      </c>
      <c r="F738" t="s">
        <v>65</v>
      </c>
      <c r="G738" t="s">
        <v>46</v>
      </c>
      <c r="H738" t="s">
        <v>66</v>
      </c>
      <c r="I738">
        <v>3</v>
      </c>
      <c r="J738" s="11">
        <v>2219600</v>
      </c>
      <c r="K738" s="11">
        <v>25000</v>
      </c>
      <c r="L738" t="s">
        <v>35</v>
      </c>
      <c r="M738" t="s">
        <v>36</v>
      </c>
      <c r="N738" t="s">
        <v>37</v>
      </c>
    </row>
    <row r="739" spans="1:15" x14ac:dyDescent="0.25">
      <c r="A739" t="s">
        <v>1230</v>
      </c>
      <c r="B739" t="s">
        <v>1231</v>
      </c>
      <c r="C739" t="s">
        <v>435</v>
      </c>
      <c r="D739" s="6">
        <v>46194</v>
      </c>
      <c r="E739" t="s">
        <v>31</v>
      </c>
      <c r="F739" t="s">
        <v>42</v>
      </c>
      <c r="G739" t="s">
        <v>46</v>
      </c>
      <c r="H739" t="s">
        <v>47</v>
      </c>
      <c r="I739">
        <v>1</v>
      </c>
      <c r="J739" s="11">
        <v>1860379</v>
      </c>
      <c r="K739" s="11">
        <v>50000</v>
      </c>
      <c r="L739" t="s">
        <v>35</v>
      </c>
      <c r="M739" t="s">
        <v>36</v>
      </c>
      <c r="N739" t="s">
        <v>61</v>
      </c>
    </row>
    <row r="740" spans="1:15" x14ac:dyDescent="0.25">
      <c r="A740" t="s">
        <v>1232</v>
      </c>
      <c r="B740" t="s">
        <v>841</v>
      </c>
      <c r="C740" t="s">
        <v>84</v>
      </c>
      <c r="D740" s="6">
        <v>46202</v>
      </c>
      <c r="E740" t="s">
        <v>41</v>
      </c>
      <c r="F740" t="s">
        <v>42</v>
      </c>
      <c r="G740" t="s">
        <v>85</v>
      </c>
      <c r="H740" t="s">
        <v>76</v>
      </c>
      <c r="I740">
        <v>3</v>
      </c>
      <c r="J740" s="11">
        <v>458175</v>
      </c>
      <c r="K740" s="11">
        <v>50000</v>
      </c>
      <c r="L740" t="s">
        <v>35</v>
      </c>
      <c r="M740" t="s">
        <v>71</v>
      </c>
      <c r="N740" t="s">
        <v>61</v>
      </c>
    </row>
    <row r="741" spans="1:15" hidden="1" x14ac:dyDescent="0.25">
      <c r="A741" t="s">
        <v>1233</v>
      </c>
      <c r="B741" t="s">
        <v>688</v>
      </c>
      <c r="C741" t="s">
        <v>689</v>
      </c>
      <c r="D741" s="6">
        <v>46183</v>
      </c>
      <c r="E741" t="s">
        <v>31</v>
      </c>
      <c r="F741" t="s">
        <v>32</v>
      </c>
      <c r="G741" t="s">
        <v>33</v>
      </c>
      <c r="H741" t="s">
        <v>34</v>
      </c>
      <c r="I741">
        <v>5</v>
      </c>
      <c r="J741" s="11">
        <v>1300349</v>
      </c>
      <c r="K741" s="11">
        <v>25000</v>
      </c>
      <c r="L741" t="s">
        <v>35</v>
      </c>
      <c r="M741" t="s">
        <v>36</v>
      </c>
      <c r="N741" t="s">
        <v>37</v>
      </c>
    </row>
    <row r="742" spans="1:15" x14ac:dyDescent="0.25">
      <c r="A742" t="s">
        <v>1234</v>
      </c>
      <c r="B742" t="s">
        <v>103</v>
      </c>
      <c r="C742" t="s">
        <v>104</v>
      </c>
      <c r="D742" s="6">
        <v>46089</v>
      </c>
      <c r="E742" t="s">
        <v>53</v>
      </c>
      <c r="F742" t="s">
        <v>59</v>
      </c>
      <c r="G742" t="s">
        <v>85</v>
      </c>
      <c r="H742" t="s">
        <v>34</v>
      </c>
      <c r="I742">
        <v>6</v>
      </c>
      <c r="J742" s="11">
        <v>1766819</v>
      </c>
      <c r="K742" s="11">
        <v>0</v>
      </c>
      <c r="L742" t="s">
        <v>35</v>
      </c>
      <c r="M742" t="s">
        <v>67</v>
      </c>
      <c r="N742" t="s">
        <v>61</v>
      </c>
      <c r="O742" t="s">
        <v>1377</v>
      </c>
    </row>
    <row r="743" spans="1:15" hidden="1" x14ac:dyDescent="0.25">
      <c r="A743" t="s">
        <v>1235</v>
      </c>
      <c r="B743" t="s">
        <v>327</v>
      </c>
      <c r="C743" t="s">
        <v>328</v>
      </c>
      <c r="D743" s="6">
        <v>46122</v>
      </c>
      <c r="E743" t="s">
        <v>80</v>
      </c>
      <c r="F743" t="s">
        <v>42</v>
      </c>
      <c r="G743" t="s">
        <v>46</v>
      </c>
      <c r="H743" t="s">
        <v>66</v>
      </c>
      <c r="I743">
        <v>2</v>
      </c>
      <c r="J743" s="11">
        <v>567656</v>
      </c>
      <c r="K743" s="11">
        <v>15000</v>
      </c>
      <c r="L743" t="s">
        <v>35</v>
      </c>
      <c r="M743" t="s">
        <v>36</v>
      </c>
      <c r="N743" t="s">
        <v>37</v>
      </c>
    </row>
    <row r="744" spans="1:15" hidden="1" x14ac:dyDescent="0.25">
      <c r="A744" t="s">
        <v>1236</v>
      </c>
      <c r="B744" t="s">
        <v>519</v>
      </c>
      <c r="C744" t="s">
        <v>377</v>
      </c>
      <c r="E744" t="s">
        <v>80</v>
      </c>
      <c r="F744" t="s">
        <v>65</v>
      </c>
      <c r="G744" t="s">
        <v>85</v>
      </c>
      <c r="H744" t="s">
        <v>34</v>
      </c>
      <c r="I744">
        <v>7</v>
      </c>
      <c r="J744" s="11">
        <v>1083893</v>
      </c>
      <c r="K744" s="11">
        <v>50000</v>
      </c>
      <c r="L744" t="s">
        <v>35</v>
      </c>
      <c r="M744" t="s">
        <v>36</v>
      </c>
      <c r="N744" t="s">
        <v>37</v>
      </c>
      <c r="O744" t="s">
        <v>1375</v>
      </c>
    </row>
    <row r="745" spans="1:15" hidden="1" x14ac:dyDescent="0.25">
      <c r="A745" t="s">
        <v>1237</v>
      </c>
      <c r="B745" t="s">
        <v>874</v>
      </c>
      <c r="C745" t="s">
        <v>393</v>
      </c>
      <c r="D745" s="6">
        <v>46150</v>
      </c>
      <c r="E745" t="s">
        <v>41</v>
      </c>
      <c r="F745" t="s">
        <v>59</v>
      </c>
      <c r="G745" t="s">
        <v>46</v>
      </c>
      <c r="H745" t="s">
        <v>76</v>
      </c>
      <c r="I745">
        <v>4</v>
      </c>
      <c r="J745" s="11">
        <v>1749787</v>
      </c>
      <c r="K745" s="11">
        <v>25000</v>
      </c>
      <c r="L745" t="s">
        <v>89</v>
      </c>
      <c r="M745" t="s">
        <v>36</v>
      </c>
      <c r="N745" t="s">
        <v>37</v>
      </c>
    </row>
    <row r="746" spans="1:15" x14ac:dyDescent="0.25">
      <c r="A746" t="s">
        <v>1238</v>
      </c>
      <c r="B746" t="s">
        <v>461</v>
      </c>
      <c r="C746" t="s">
        <v>152</v>
      </c>
      <c r="D746" s="6">
        <v>46193</v>
      </c>
      <c r="E746" t="s">
        <v>58</v>
      </c>
      <c r="F746" t="s">
        <v>65</v>
      </c>
      <c r="G746" t="s">
        <v>81</v>
      </c>
      <c r="H746" t="s">
        <v>66</v>
      </c>
      <c r="I746">
        <v>5</v>
      </c>
      <c r="J746" s="11">
        <v>1162361</v>
      </c>
      <c r="K746" s="11">
        <v>0</v>
      </c>
      <c r="L746" t="s">
        <v>35</v>
      </c>
      <c r="M746" t="s">
        <v>67</v>
      </c>
      <c r="N746" t="s">
        <v>61</v>
      </c>
      <c r="O746" t="s">
        <v>1377</v>
      </c>
    </row>
    <row r="747" spans="1:15" x14ac:dyDescent="0.25">
      <c r="A747" t="s">
        <v>1239</v>
      </c>
      <c r="B747" t="s">
        <v>298</v>
      </c>
      <c r="C747" t="s">
        <v>88</v>
      </c>
      <c r="D747" s="6">
        <v>46136</v>
      </c>
      <c r="E747" t="s">
        <v>31</v>
      </c>
      <c r="F747" t="s">
        <v>59</v>
      </c>
      <c r="G747" t="s">
        <v>75</v>
      </c>
      <c r="H747" t="s">
        <v>66</v>
      </c>
      <c r="I747">
        <v>2</v>
      </c>
      <c r="J747" s="11">
        <v>1719795</v>
      </c>
      <c r="K747" s="11">
        <v>50000</v>
      </c>
      <c r="L747" t="s">
        <v>35</v>
      </c>
      <c r="M747" t="s">
        <v>36</v>
      </c>
      <c r="N747" t="s">
        <v>61</v>
      </c>
    </row>
    <row r="748" spans="1:15" x14ac:dyDescent="0.25">
      <c r="A748" t="s">
        <v>1240</v>
      </c>
      <c r="B748" t="s">
        <v>51</v>
      </c>
      <c r="C748" t="s">
        <v>52</v>
      </c>
      <c r="D748" s="6">
        <v>46129</v>
      </c>
      <c r="E748" t="s">
        <v>31</v>
      </c>
      <c r="F748" t="s">
        <v>32</v>
      </c>
      <c r="G748" t="s">
        <v>60</v>
      </c>
      <c r="H748" t="s">
        <v>34</v>
      </c>
      <c r="I748">
        <v>7</v>
      </c>
      <c r="J748" s="11">
        <v>213929</v>
      </c>
      <c r="K748" s="11">
        <v>25000</v>
      </c>
      <c r="L748" t="s">
        <v>35</v>
      </c>
      <c r="M748" t="s">
        <v>67</v>
      </c>
      <c r="N748" t="s">
        <v>61</v>
      </c>
    </row>
    <row r="749" spans="1:15" hidden="1" x14ac:dyDescent="0.25">
      <c r="A749" t="s">
        <v>1241</v>
      </c>
      <c r="B749" t="s">
        <v>696</v>
      </c>
      <c r="C749" t="s">
        <v>689</v>
      </c>
      <c r="D749" s="6">
        <v>46362</v>
      </c>
      <c r="E749" t="s">
        <v>31</v>
      </c>
      <c r="F749" t="s">
        <v>59</v>
      </c>
      <c r="G749" t="s">
        <v>46</v>
      </c>
      <c r="H749" t="s">
        <v>76</v>
      </c>
      <c r="I749">
        <v>2</v>
      </c>
      <c r="J749" s="11">
        <v>247370</v>
      </c>
      <c r="K749" s="11">
        <v>35000</v>
      </c>
      <c r="L749" t="s">
        <v>35</v>
      </c>
      <c r="M749" t="s">
        <v>67</v>
      </c>
      <c r="N749" t="s">
        <v>37</v>
      </c>
    </row>
    <row r="750" spans="1:15" x14ac:dyDescent="0.25">
      <c r="A750" t="s">
        <v>1243</v>
      </c>
      <c r="B750" t="s">
        <v>151</v>
      </c>
      <c r="C750" t="s">
        <v>152</v>
      </c>
      <c r="D750" s="6">
        <v>46028</v>
      </c>
      <c r="E750" t="s">
        <v>58</v>
      </c>
      <c r="F750" t="s">
        <v>59</v>
      </c>
      <c r="G750" t="s">
        <v>75</v>
      </c>
      <c r="H750" t="s">
        <v>47</v>
      </c>
      <c r="I750">
        <v>1</v>
      </c>
      <c r="J750" s="11">
        <v>2482360</v>
      </c>
      <c r="K750" s="11">
        <v>35000</v>
      </c>
      <c r="L750" t="s">
        <v>35</v>
      </c>
      <c r="M750" t="s">
        <v>67</v>
      </c>
      <c r="N750" t="s">
        <v>61</v>
      </c>
    </row>
    <row r="751" spans="1:15" hidden="1" x14ac:dyDescent="0.25">
      <c r="A751" t="s">
        <v>1244</v>
      </c>
      <c r="B751" t="s">
        <v>355</v>
      </c>
      <c r="C751" t="s">
        <v>266</v>
      </c>
      <c r="D751" s="6">
        <v>46150</v>
      </c>
      <c r="E751" t="s">
        <v>58</v>
      </c>
      <c r="F751" t="s">
        <v>65</v>
      </c>
      <c r="G751" t="s">
        <v>33</v>
      </c>
      <c r="H751" t="s">
        <v>66</v>
      </c>
      <c r="I751">
        <v>4</v>
      </c>
      <c r="J751" s="11">
        <v>1933984</v>
      </c>
      <c r="K751" s="11">
        <v>35000</v>
      </c>
      <c r="L751" t="s">
        <v>35</v>
      </c>
      <c r="M751" t="s">
        <v>67</v>
      </c>
      <c r="N751" t="s">
        <v>37</v>
      </c>
    </row>
    <row r="752" spans="1:15" hidden="1" x14ac:dyDescent="0.25">
      <c r="A752" t="s">
        <v>1245</v>
      </c>
      <c r="B752" t="s">
        <v>240</v>
      </c>
      <c r="C752" t="s">
        <v>241</v>
      </c>
      <c r="D752" s="6">
        <v>46091</v>
      </c>
      <c r="E752" t="s">
        <v>58</v>
      </c>
      <c r="F752" t="s">
        <v>65</v>
      </c>
      <c r="G752" t="s">
        <v>46</v>
      </c>
      <c r="H752" t="s">
        <v>47</v>
      </c>
      <c r="I752">
        <v>7</v>
      </c>
      <c r="J752" s="11">
        <v>222395</v>
      </c>
      <c r="K752" s="11">
        <v>25000</v>
      </c>
      <c r="L752" t="s">
        <v>35</v>
      </c>
      <c r="M752" t="s">
        <v>36</v>
      </c>
      <c r="N752" t="s">
        <v>37</v>
      </c>
    </row>
    <row r="753" spans="1:15" x14ac:dyDescent="0.25">
      <c r="A753" t="s">
        <v>1246</v>
      </c>
      <c r="B753" t="s">
        <v>405</v>
      </c>
      <c r="C753" t="s">
        <v>107</v>
      </c>
      <c r="D753" s="6">
        <v>46082</v>
      </c>
      <c r="E753" t="s">
        <v>41</v>
      </c>
      <c r="F753" t="s">
        <v>42</v>
      </c>
      <c r="G753" t="s">
        <v>33</v>
      </c>
      <c r="H753" t="s">
        <v>66</v>
      </c>
      <c r="I753">
        <v>3</v>
      </c>
      <c r="J753" s="11">
        <v>318367</v>
      </c>
      <c r="K753" s="11">
        <v>25000</v>
      </c>
      <c r="L753" t="s">
        <v>35</v>
      </c>
      <c r="M753" t="s">
        <v>36</v>
      </c>
      <c r="N753" t="s">
        <v>61</v>
      </c>
    </row>
    <row r="754" spans="1:15" hidden="1" x14ac:dyDescent="0.25">
      <c r="A754" t="s">
        <v>1247</v>
      </c>
      <c r="B754" t="s">
        <v>737</v>
      </c>
      <c r="C754" t="s">
        <v>158</v>
      </c>
      <c r="D754" s="6">
        <v>46186</v>
      </c>
      <c r="E754" t="s">
        <v>80</v>
      </c>
      <c r="F754" t="s">
        <v>32</v>
      </c>
      <c r="G754" t="s">
        <v>85</v>
      </c>
      <c r="H754" t="s">
        <v>47</v>
      </c>
      <c r="I754">
        <v>2</v>
      </c>
      <c r="J754" s="11">
        <v>1574533</v>
      </c>
      <c r="K754" s="11">
        <v>35000</v>
      </c>
      <c r="L754" t="s">
        <v>35</v>
      </c>
      <c r="M754" t="s">
        <v>36</v>
      </c>
      <c r="N754" t="s">
        <v>37</v>
      </c>
    </row>
    <row r="755" spans="1:15" x14ac:dyDescent="0.25">
      <c r="A755" t="s">
        <v>1248</v>
      </c>
      <c r="B755" t="s">
        <v>599</v>
      </c>
      <c r="C755" t="s">
        <v>263</v>
      </c>
      <c r="D755" s="6">
        <v>46133</v>
      </c>
      <c r="E755" t="s">
        <v>41</v>
      </c>
      <c r="F755" t="s">
        <v>59</v>
      </c>
      <c r="G755" t="s">
        <v>46</v>
      </c>
      <c r="H755" t="s">
        <v>34</v>
      </c>
      <c r="I755">
        <v>3</v>
      </c>
      <c r="J755" s="11">
        <v>482578</v>
      </c>
      <c r="K755" s="11">
        <v>50000</v>
      </c>
      <c r="L755" t="s">
        <v>48</v>
      </c>
      <c r="M755" t="s">
        <v>71</v>
      </c>
      <c r="N755" t="s">
        <v>61</v>
      </c>
    </row>
    <row r="756" spans="1:15" x14ac:dyDescent="0.25">
      <c r="A756" t="s">
        <v>1249</v>
      </c>
      <c r="B756" t="s">
        <v>341</v>
      </c>
      <c r="C756" t="s">
        <v>342</v>
      </c>
      <c r="D756" s="6">
        <v>46152</v>
      </c>
      <c r="E756" t="s">
        <v>31</v>
      </c>
      <c r="F756" t="s">
        <v>42</v>
      </c>
      <c r="G756" t="s">
        <v>85</v>
      </c>
      <c r="H756" t="s">
        <v>47</v>
      </c>
      <c r="I756">
        <v>3</v>
      </c>
      <c r="J756" s="11">
        <v>728385</v>
      </c>
      <c r="K756" s="11">
        <v>50000</v>
      </c>
      <c r="L756" t="s">
        <v>35</v>
      </c>
      <c r="M756" t="s">
        <v>71</v>
      </c>
      <c r="N756" t="s">
        <v>61</v>
      </c>
    </row>
    <row r="757" spans="1:15" x14ac:dyDescent="0.25">
      <c r="A757" t="s">
        <v>1250</v>
      </c>
      <c r="B757" t="s">
        <v>1251</v>
      </c>
      <c r="C757" t="s">
        <v>204</v>
      </c>
      <c r="D757" s="6">
        <v>46130</v>
      </c>
      <c r="E757" t="s">
        <v>58</v>
      </c>
      <c r="F757" t="s">
        <v>32</v>
      </c>
      <c r="G757" t="s">
        <v>46</v>
      </c>
      <c r="H757" t="s">
        <v>34</v>
      </c>
      <c r="I757">
        <v>5</v>
      </c>
      <c r="J757" s="11">
        <v>589258</v>
      </c>
      <c r="K757" s="11">
        <v>50000</v>
      </c>
      <c r="L757" t="s">
        <v>35</v>
      </c>
      <c r="M757" t="s">
        <v>67</v>
      </c>
      <c r="N757" t="s">
        <v>61</v>
      </c>
    </row>
    <row r="758" spans="1:15" x14ac:dyDescent="0.25">
      <c r="A758" t="s">
        <v>1252</v>
      </c>
      <c r="B758" t="s">
        <v>192</v>
      </c>
      <c r="C758" t="s">
        <v>101</v>
      </c>
      <c r="D758" s="6">
        <v>46108</v>
      </c>
      <c r="E758" t="s">
        <v>53</v>
      </c>
      <c r="F758" t="s">
        <v>59</v>
      </c>
      <c r="G758" t="s">
        <v>46</v>
      </c>
      <c r="H758" t="s">
        <v>47</v>
      </c>
      <c r="I758">
        <v>3</v>
      </c>
      <c r="J758" s="11">
        <v>2171769</v>
      </c>
      <c r="K758" s="11">
        <v>0</v>
      </c>
      <c r="L758" t="s">
        <v>35</v>
      </c>
      <c r="M758" t="s">
        <v>71</v>
      </c>
      <c r="N758" t="s">
        <v>61</v>
      </c>
      <c r="O758" t="s">
        <v>1377</v>
      </c>
    </row>
    <row r="759" spans="1:15" hidden="1" x14ac:dyDescent="0.25">
      <c r="A759" t="s">
        <v>1253</v>
      </c>
      <c r="B759" t="s">
        <v>243</v>
      </c>
      <c r="C759" t="s">
        <v>244</v>
      </c>
      <c r="D759" s="6">
        <v>46112</v>
      </c>
      <c r="E759" t="s">
        <v>31</v>
      </c>
      <c r="F759" t="s">
        <v>65</v>
      </c>
      <c r="G759" t="s">
        <v>46</v>
      </c>
      <c r="H759" t="s">
        <v>54</v>
      </c>
      <c r="I759">
        <v>2</v>
      </c>
      <c r="J759" s="11">
        <v>1831269</v>
      </c>
      <c r="K759" s="11">
        <v>0</v>
      </c>
      <c r="L759" t="s">
        <v>35</v>
      </c>
      <c r="M759" t="s">
        <v>36</v>
      </c>
      <c r="N759" t="s">
        <v>37</v>
      </c>
      <c r="O759" t="s">
        <v>1377</v>
      </c>
    </row>
    <row r="760" spans="1:15" x14ac:dyDescent="0.25">
      <c r="A760" t="s">
        <v>1254</v>
      </c>
      <c r="B760" t="s">
        <v>135</v>
      </c>
      <c r="C760" t="s">
        <v>136</v>
      </c>
      <c r="D760" s="6">
        <v>46041</v>
      </c>
      <c r="E760" t="s">
        <v>53</v>
      </c>
      <c r="F760" t="s">
        <v>65</v>
      </c>
      <c r="G760" t="s">
        <v>85</v>
      </c>
      <c r="H760" t="s">
        <v>54</v>
      </c>
      <c r="I760">
        <v>7</v>
      </c>
      <c r="J760" s="11">
        <v>1405788</v>
      </c>
      <c r="K760" s="11">
        <v>15000</v>
      </c>
      <c r="L760" t="s">
        <v>35</v>
      </c>
      <c r="M760" t="s">
        <v>71</v>
      </c>
      <c r="N760" t="s">
        <v>61</v>
      </c>
    </row>
    <row r="761" spans="1:15" hidden="1" x14ac:dyDescent="0.25">
      <c r="A761" t="s">
        <v>1255</v>
      </c>
      <c r="B761" t="s">
        <v>292</v>
      </c>
      <c r="C761" t="s">
        <v>152</v>
      </c>
      <c r="D761" s="6">
        <v>46098</v>
      </c>
      <c r="E761" t="s">
        <v>41</v>
      </c>
      <c r="F761" t="s">
        <v>65</v>
      </c>
      <c r="G761" t="s">
        <v>60</v>
      </c>
      <c r="H761" t="s">
        <v>66</v>
      </c>
      <c r="I761">
        <v>2</v>
      </c>
      <c r="J761" s="11">
        <v>627827</v>
      </c>
      <c r="K761" s="11">
        <v>15000</v>
      </c>
      <c r="L761" t="s">
        <v>48</v>
      </c>
      <c r="M761" t="s">
        <v>67</v>
      </c>
      <c r="N761" t="s">
        <v>37</v>
      </c>
    </row>
    <row r="762" spans="1:15" x14ac:dyDescent="0.25">
      <c r="A762" t="s">
        <v>1256</v>
      </c>
      <c r="B762" t="s">
        <v>618</v>
      </c>
      <c r="C762" t="s">
        <v>133</v>
      </c>
      <c r="D762" s="6">
        <v>46201</v>
      </c>
      <c r="E762" t="s">
        <v>53</v>
      </c>
      <c r="F762" t="s">
        <v>59</v>
      </c>
      <c r="G762" t="s">
        <v>75</v>
      </c>
      <c r="H762" t="s">
        <v>76</v>
      </c>
      <c r="I762">
        <v>4</v>
      </c>
      <c r="J762" s="11">
        <v>1379194</v>
      </c>
      <c r="K762" s="11">
        <v>25000</v>
      </c>
      <c r="L762" t="s">
        <v>35</v>
      </c>
      <c r="M762" t="s">
        <v>67</v>
      </c>
      <c r="N762" t="s">
        <v>61</v>
      </c>
    </row>
    <row r="763" spans="1:15" hidden="1" x14ac:dyDescent="0.25">
      <c r="A763" t="s">
        <v>1257</v>
      </c>
      <c r="B763" t="s">
        <v>399</v>
      </c>
      <c r="C763" t="s">
        <v>111</v>
      </c>
      <c r="D763" s="6">
        <v>46148</v>
      </c>
      <c r="E763" t="s">
        <v>41</v>
      </c>
      <c r="F763" t="s">
        <v>59</v>
      </c>
      <c r="G763" t="s">
        <v>46</v>
      </c>
      <c r="H763" t="s">
        <v>54</v>
      </c>
      <c r="I763">
        <v>3</v>
      </c>
      <c r="J763" s="11">
        <v>252196</v>
      </c>
      <c r="K763" s="11">
        <v>35000</v>
      </c>
      <c r="L763" t="s">
        <v>35</v>
      </c>
      <c r="M763" t="s">
        <v>67</v>
      </c>
      <c r="N763" t="s">
        <v>37</v>
      </c>
    </row>
    <row r="764" spans="1:15" x14ac:dyDescent="0.25">
      <c r="A764" t="s">
        <v>1258</v>
      </c>
      <c r="B764" t="s">
        <v>118</v>
      </c>
      <c r="C764" t="s">
        <v>119</v>
      </c>
      <c r="D764" s="6">
        <v>46173</v>
      </c>
      <c r="E764" t="s">
        <v>58</v>
      </c>
      <c r="F764" t="s">
        <v>59</v>
      </c>
      <c r="G764" t="s">
        <v>33</v>
      </c>
      <c r="H764" t="s">
        <v>76</v>
      </c>
      <c r="I764">
        <v>1</v>
      </c>
      <c r="J764" s="11">
        <v>1592431</v>
      </c>
      <c r="K764" s="11">
        <v>35000</v>
      </c>
      <c r="L764" t="s">
        <v>35</v>
      </c>
      <c r="M764" t="s">
        <v>49</v>
      </c>
      <c r="N764" t="s">
        <v>61</v>
      </c>
    </row>
    <row r="765" spans="1:15" hidden="1" x14ac:dyDescent="0.25">
      <c r="A765" t="s">
        <v>1259</v>
      </c>
      <c r="B765" t="s">
        <v>379</v>
      </c>
      <c r="C765" t="s">
        <v>158</v>
      </c>
      <c r="D765" s="6">
        <v>46085</v>
      </c>
      <c r="E765" t="s">
        <v>41</v>
      </c>
      <c r="F765" t="s">
        <v>65</v>
      </c>
      <c r="G765" t="s">
        <v>33</v>
      </c>
      <c r="H765" t="s">
        <v>66</v>
      </c>
      <c r="I765">
        <v>4</v>
      </c>
      <c r="J765" s="11">
        <v>514288</v>
      </c>
      <c r="K765" s="11">
        <v>35000</v>
      </c>
      <c r="L765" t="s">
        <v>35</v>
      </c>
      <c r="M765" t="s">
        <v>67</v>
      </c>
      <c r="N765" t="s">
        <v>37</v>
      </c>
    </row>
    <row r="766" spans="1:15" x14ac:dyDescent="0.25">
      <c r="A766" t="s">
        <v>1260</v>
      </c>
      <c r="B766" t="s">
        <v>161</v>
      </c>
      <c r="C766" t="s">
        <v>136</v>
      </c>
      <c r="D766" s="6">
        <v>46180</v>
      </c>
      <c r="E766" t="s">
        <v>58</v>
      </c>
      <c r="F766" t="s">
        <v>59</v>
      </c>
      <c r="G766" t="s">
        <v>81</v>
      </c>
      <c r="H766" t="s">
        <v>76</v>
      </c>
      <c r="I766">
        <v>1</v>
      </c>
      <c r="J766" s="11">
        <v>1842210</v>
      </c>
      <c r="K766" s="11">
        <v>0</v>
      </c>
      <c r="L766" t="s">
        <v>35</v>
      </c>
      <c r="M766" t="s">
        <v>36</v>
      </c>
      <c r="N766" t="s">
        <v>61</v>
      </c>
      <c r="O766" t="s">
        <v>1377</v>
      </c>
    </row>
    <row r="767" spans="1:15" hidden="1" x14ac:dyDescent="0.25">
      <c r="A767" t="s">
        <v>1261</v>
      </c>
      <c r="B767" t="s">
        <v>519</v>
      </c>
      <c r="C767" t="s">
        <v>377</v>
      </c>
      <c r="D767" s="6">
        <v>46093</v>
      </c>
      <c r="E767" t="s">
        <v>58</v>
      </c>
      <c r="F767" t="s">
        <v>32</v>
      </c>
      <c r="G767" t="s">
        <v>46</v>
      </c>
      <c r="H767" t="s">
        <v>54</v>
      </c>
      <c r="I767">
        <v>7</v>
      </c>
      <c r="J767" s="11">
        <v>2489991</v>
      </c>
      <c r="K767" s="11">
        <v>35000</v>
      </c>
      <c r="L767" t="s">
        <v>245</v>
      </c>
      <c r="M767" t="s">
        <v>36</v>
      </c>
      <c r="N767" t="s">
        <v>37</v>
      </c>
    </row>
    <row r="768" spans="1:15" hidden="1" x14ac:dyDescent="0.25">
      <c r="A768" t="s">
        <v>1262</v>
      </c>
      <c r="B768" t="s">
        <v>364</v>
      </c>
      <c r="C768" t="s">
        <v>70</v>
      </c>
      <c r="D768" s="6">
        <v>46138</v>
      </c>
      <c r="E768" t="s">
        <v>58</v>
      </c>
      <c r="F768" t="s">
        <v>42</v>
      </c>
      <c r="G768" t="s">
        <v>81</v>
      </c>
      <c r="H768" t="s">
        <v>34</v>
      </c>
      <c r="I768">
        <v>1</v>
      </c>
      <c r="J768" s="11">
        <v>1350564</v>
      </c>
      <c r="K768" s="11">
        <v>15000</v>
      </c>
      <c r="L768" t="s">
        <v>35</v>
      </c>
      <c r="M768" t="s">
        <v>67</v>
      </c>
      <c r="N768" t="s">
        <v>37</v>
      </c>
    </row>
    <row r="769" spans="1:15" x14ac:dyDescent="0.25">
      <c r="A769" t="s">
        <v>1263</v>
      </c>
      <c r="B769" t="s">
        <v>203</v>
      </c>
      <c r="C769" t="s">
        <v>204</v>
      </c>
      <c r="D769" s="6">
        <v>46086</v>
      </c>
      <c r="E769" t="s">
        <v>31</v>
      </c>
      <c r="F769" t="s">
        <v>59</v>
      </c>
      <c r="G769" t="s">
        <v>81</v>
      </c>
      <c r="H769" t="s">
        <v>66</v>
      </c>
      <c r="I769">
        <v>7</v>
      </c>
      <c r="J769" s="11">
        <v>143876</v>
      </c>
      <c r="K769" s="11">
        <v>35000</v>
      </c>
      <c r="L769" t="s">
        <v>35</v>
      </c>
      <c r="M769" t="s">
        <v>36</v>
      </c>
      <c r="N769" t="s">
        <v>61</v>
      </c>
    </row>
    <row r="770" spans="1:15" x14ac:dyDescent="0.25">
      <c r="A770" t="s">
        <v>1264</v>
      </c>
      <c r="B770" t="s">
        <v>685</v>
      </c>
      <c r="C770" t="s">
        <v>79</v>
      </c>
      <c r="D770" s="6">
        <v>46110</v>
      </c>
      <c r="E770" t="s">
        <v>58</v>
      </c>
      <c r="F770" t="s">
        <v>65</v>
      </c>
      <c r="G770" t="s">
        <v>85</v>
      </c>
      <c r="H770" t="s">
        <v>34</v>
      </c>
      <c r="I770">
        <v>6</v>
      </c>
      <c r="J770" s="11">
        <v>2189264</v>
      </c>
      <c r="K770" s="11">
        <v>15000</v>
      </c>
      <c r="L770" t="s">
        <v>35</v>
      </c>
      <c r="M770" t="s">
        <v>36</v>
      </c>
      <c r="N770" t="s">
        <v>61</v>
      </c>
    </row>
    <row r="771" spans="1:15" hidden="1" x14ac:dyDescent="0.25">
      <c r="A771" t="s">
        <v>1265</v>
      </c>
      <c r="B771" t="s">
        <v>723</v>
      </c>
      <c r="C771" t="s">
        <v>724</v>
      </c>
      <c r="D771" s="6">
        <v>46177</v>
      </c>
      <c r="E771" t="s">
        <v>41</v>
      </c>
      <c r="F771" t="s">
        <v>65</v>
      </c>
      <c r="G771" t="s">
        <v>75</v>
      </c>
      <c r="H771" t="s">
        <v>76</v>
      </c>
      <c r="I771">
        <v>4</v>
      </c>
      <c r="J771" s="11">
        <v>2480431</v>
      </c>
      <c r="K771" s="11">
        <v>0</v>
      </c>
      <c r="L771" t="s">
        <v>35</v>
      </c>
      <c r="M771" t="s">
        <v>71</v>
      </c>
      <c r="N771" t="s">
        <v>37</v>
      </c>
      <c r="O771" t="s">
        <v>1377</v>
      </c>
    </row>
    <row r="772" spans="1:15" hidden="1" x14ac:dyDescent="0.25">
      <c r="A772" t="s">
        <v>1266</v>
      </c>
      <c r="B772" t="s">
        <v>923</v>
      </c>
      <c r="C772" t="s">
        <v>370</v>
      </c>
      <c r="D772" s="6">
        <v>46162</v>
      </c>
      <c r="E772" t="s">
        <v>41</v>
      </c>
      <c r="F772" t="s">
        <v>65</v>
      </c>
      <c r="G772" t="s">
        <v>81</v>
      </c>
      <c r="H772" t="s">
        <v>54</v>
      </c>
      <c r="I772">
        <v>4</v>
      </c>
      <c r="J772" s="11">
        <v>565972</v>
      </c>
      <c r="K772" s="11">
        <v>35000</v>
      </c>
      <c r="L772" t="s">
        <v>35</v>
      </c>
      <c r="M772" t="s">
        <v>36</v>
      </c>
      <c r="N772" t="s">
        <v>37</v>
      </c>
    </row>
    <row r="773" spans="1:15" x14ac:dyDescent="0.25">
      <c r="A773" t="s">
        <v>1267</v>
      </c>
      <c r="B773" t="s">
        <v>811</v>
      </c>
      <c r="C773" t="s">
        <v>470</v>
      </c>
      <c r="D773" s="6">
        <v>46193</v>
      </c>
      <c r="E773" t="s">
        <v>31</v>
      </c>
      <c r="F773" t="s">
        <v>65</v>
      </c>
      <c r="G773" t="s">
        <v>81</v>
      </c>
      <c r="H773" t="s">
        <v>34</v>
      </c>
      <c r="I773">
        <v>4</v>
      </c>
      <c r="J773" s="11">
        <v>1620061</v>
      </c>
      <c r="K773" s="11">
        <v>35000</v>
      </c>
      <c r="L773" t="s">
        <v>35</v>
      </c>
      <c r="M773" t="s">
        <v>67</v>
      </c>
      <c r="N773" t="s">
        <v>61</v>
      </c>
    </row>
    <row r="774" spans="1:15" x14ac:dyDescent="0.25">
      <c r="A774" t="s">
        <v>1269</v>
      </c>
      <c r="B774" t="s">
        <v>665</v>
      </c>
      <c r="C774" t="s">
        <v>442</v>
      </c>
      <c r="D774" s="6">
        <v>46070</v>
      </c>
      <c r="E774" t="s">
        <v>58</v>
      </c>
      <c r="F774" t="s">
        <v>42</v>
      </c>
      <c r="G774" t="s">
        <v>46</v>
      </c>
      <c r="H774" t="s">
        <v>47</v>
      </c>
      <c r="I774">
        <v>6</v>
      </c>
      <c r="J774" s="11">
        <v>944252</v>
      </c>
      <c r="K774" s="11">
        <v>35000</v>
      </c>
      <c r="L774" t="s">
        <v>89</v>
      </c>
      <c r="M774" t="s">
        <v>36</v>
      </c>
      <c r="N774" t="s">
        <v>61</v>
      </c>
    </row>
    <row r="775" spans="1:15" x14ac:dyDescent="0.25">
      <c r="A775" t="s">
        <v>1270</v>
      </c>
      <c r="B775" t="s">
        <v>1129</v>
      </c>
      <c r="C775" t="s">
        <v>208</v>
      </c>
      <c r="D775" s="6">
        <v>46033</v>
      </c>
      <c r="E775" t="s">
        <v>41</v>
      </c>
      <c r="F775" t="s">
        <v>65</v>
      </c>
      <c r="G775" t="s">
        <v>33</v>
      </c>
      <c r="H775" t="s">
        <v>54</v>
      </c>
      <c r="I775">
        <v>2</v>
      </c>
      <c r="J775" s="11">
        <v>1094119</v>
      </c>
      <c r="K775" s="11">
        <v>15000</v>
      </c>
      <c r="L775" t="s">
        <v>35</v>
      </c>
      <c r="M775" t="s">
        <v>36</v>
      </c>
      <c r="N775" t="s">
        <v>61</v>
      </c>
    </row>
    <row r="776" spans="1:15" x14ac:dyDescent="0.25">
      <c r="A776" t="s">
        <v>1271</v>
      </c>
      <c r="B776" t="s">
        <v>507</v>
      </c>
      <c r="C776" t="s">
        <v>70</v>
      </c>
      <c r="D776" s="6">
        <v>46157</v>
      </c>
      <c r="E776" t="s">
        <v>31</v>
      </c>
      <c r="F776" t="s">
        <v>32</v>
      </c>
      <c r="G776" t="s">
        <v>85</v>
      </c>
      <c r="H776" t="s">
        <v>47</v>
      </c>
      <c r="I776">
        <v>5</v>
      </c>
      <c r="J776" s="11">
        <v>1235213</v>
      </c>
      <c r="K776" s="11">
        <v>50000</v>
      </c>
      <c r="L776" t="s">
        <v>35</v>
      </c>
      <c r="M776" t="s">
        <v>71</v>
      </c>
      <c r="N776" t="s">
        <v>61</v>
      </c>
    </row>
    <row r="777" spans="1:15" x14ac:dyDescent="0.25">
      <c r="A777" t="s">
        <v>1272</v>
      </c>
      <c r="B777" t="s">
        <v>305</v>
      </c>
      <c r="C777" t="s">
        <v>176</v>
      </c>
      <c r="D777" s="6">
        <v>46192</v>
      </c>
      <c r="E777" t="s">
        <v>53</v>
      </c>
      <c r="F777" t="s">
        <v>65</v>
      </c>
      <c r="G777" t="s">
        <v>85</v>
      </c>
      <c r="H777" t="s">
        <v>34</v>
      </c>
      <c r="J777" s="11">
        <v>2111285</v>
      </c>
      <c r="K777" s="11">
        <v>35000</v>
      </c>
      <c r="L777" t="s">
        <v>35</v>
      </c>
      <c r="M777" t="s">
        <v>67</v>
      </c>
      <c r="N777" t="s">
        <v>61</v>
      </c>
      <c r="O777" t="s">
        <v>1376</v>
      </c>
    </row>
    <row r="778" spans="1:15" hidden="1" x14ac:dyDescent="0.25">
      <c r="A778" t="s">
        <v>1273</v>
      </c>
      <c r="B778" t="s">
        <v>73</v>
      </c>
      <c r="C778" t="s">
        <v>74</v>
      </c>
      <c r="D778" s="6">
        <v>46040</v>
      </c>
      <c r="E778" t="s">
        <v>41</v>
      </c>
      <c r="F778" t="s">
        <v>32</v>
      </c>
      <c r="G778" t="s">
        <v>85</v>
      </c>
      <c r="H778" t="s">
        <v>66</v>
      </c>
      <c r="I778">
        <v>1</v>
      </c>
      <c r="J778" s="11">
        <v>2123570</v>
      </c>
      <c r="K778" s="11">
        <v>50000</v>
      </c>
      <c r="L778" t="s">
        <v>35</v>
      </c>
      <c r="M778" t="s">
        <v>67</v>
      </c>
      <c r="N778" t="s">
        <v>37</v>
      </c>
    </row>
    <row r="779" spans="1:15" x14ac:dyDescent="0.25">
      <c r="A779" t="s">
        <v>1274</v>
      </c>
      <c r="B779" t="s">
        <v>427</v>
      </c>
      <c r="C779" t="s">
        <v>388</v>
      </c>
      <c r="D779" s="6">
        <v>46133</v>
      </c>
      <c r="E779" t="s">
        <v>80</v>
      </c>
      <c r="F779" t="s">
        <v>59</v>
      </c>
      <c r="G779" t="s">
        <v>60</v>
      </c>
      <c r="H779" t="s">
        <v>76</v>
      </c>
      <c r="I779">
        <v>7</v>
      </c>
      <c r="J779" s="11">
        <v>299972</v>
      </c>
      <c r="K779" s="11">
        <v>25000</v>
      </c>
      <c r="L779" t="s">
        <v>35</v>
      </c>
      <c r="M779" t="s">
        <v>67</v>
      </c>
      <c r="N779" t="s">
        <v>61</v>
      </c>
    </row>
    <row r="780" spans="1:15" hidden="1" x14ac:dyDescent="0.25">
      <c r="A780" t="s">
        <v>1275</v>
      </c>
      <c r="B780" t="s">
        <v>1276</v>
      </c>
      <c r="C780" t="s">
        <v>241</v>
      </c>
      <c r="D780" s="6">
        <v>46055</v>
      </c>
      <c r="E780" t="s">
        <v>31</v>
      </c>
      <c r="F780" t="s">
        <v>42</v>
      </c>
      <c r="G780" t="s">
        <v>46</v>
      </c>
      <c r="H780" t="s">
        <v>76</v>
      </c>
      <c r="I780">
        <v>7</v>
      </c>
      <c r="J780" s="11">
        <v>2130605</v>
      </c>
      <c r="K780" s="11">
        <v>50000</v>
      </c>
      <c r="L780" t="s">
        <v>35</v>
      </c>
      <c r="M780" t="s">
        <v>36</v>
      </c>
      <c r="N780" t="s">
        <v>37</v>
      </c>
    </row>
    <row r="781" spans="1:15" hidden="1" x14ac:dyDescent="0.25">
      <c r="A781" t="s">
        <v>1277</v>
      </c>
      <c r="B781" t="s">
        <v>231</v>
      </c>
      <c r="C781" t="s">
        <v>198</v>
      </c>
      <c r="D781" s="6">
        <v>46042</v>
      </c>
      <c r="E781" t="s">
        <v>31</v>
      </c>
      <c r="F781" t="s">
        <v>65</v>
      </c>
      <c r="G781" t="s">
        <v>33</v>
      </c>
      <c r="H781" t="s">
        <v>66</v>
      </c>
      <c r="I781">
        <v>1</v>
      </c>
      <c r="J781" s="11">
        <v>1935049</v>
      </c>
      <c r="K781" s="11">
        <v>50000</v>
      </c>
      <c r="L781" t="s">
        <v>35</v>
      </c>
      <c r="M781" t="s">
        <v>36</v>
      </c>
      <c r="N781" t="s">
        <v>37</v>
      </c>
    </row>
    <row r="782" spans="1:15" hidden="1" x14ac:dyDescent="0.25">
      <c r="A782" t="s">
        <v>1278</v>
      </c>
      <c r="B782" t="s">
        <v>51</v>
      </c>
      <c r="C782" t="s">
        <v>52</v>
      </c>
      <c r="D782" s="6">
        <v>46141</v>
      </c>
      <c r="E782" t="s">
        <v>80</v>
      </c>
      <c r="F782" t="s">
        <v>59</v>
      </c>
      <c r="G782" t="s">
        <v>46</v>
      </c>
      <c r="H782" t="s">
        <v>47</v>
      </c>
      <c r="I782">
        <v>7</v>
      </c>
      <c r="J782" s="11">
        <v>1552281</v>
      </c>
      <c r="K782" s="11">
        <v>25000</v>
      </c>
      <c r="L782" t="s">
        <v>35</v>
      </c>
      <c r="M782" t="s">
        <v>67</v>
      </c>
      <c r="N782" t="s">
        <v>37</v>
      </c>
    </row>
    <row r="783" spans="1:15" hidden="1" x14ac:dyDescent="0.25">
      <c r="A783" t="s">
        <v>1279</v>
      </c>
      <c r="B783" t="s">
        <v>903</v>
      </c>
      <c r="C783" t="s">
        <v>173</v>
      </c>
      <c r="D783" s="6">
        <v>46199</v>
      </c>
      <c r="E783" t="s">
        <v>41</v>
      </c>
      <c r="F783" t="s">
        <v>32</v>
      </c>
      <c r="G783" t="s">
        <v>81</v>
      </c>
      <c r="H783" t="s">
        <v>47</v>
      </c>
      <c r="I783">
        <v>5</v>
      </c>
      <c r="J783" s="11">
        <v>2469597</v>
      </c>
      <c r="K783" s="11">
        <v>50000</v>
      </c>
      <c r="L783" t="s">
        <v>35</v>
      </c>
      <c r="M783" t="s">
        <v>36</v>
      </c>
      <c r="N783" t="s">
        <v>37</v>
      </c>
    </row>
    <row r="784" spans="1:15" x14ac:dyDescent="0.25">
      <c r="A784" t="s">
        <v>1280</v>
      </c>
      <c r="B784" t="s">
        <v>157</v>
      </c>
      <c r="C784" t="s">
        <v>158</v>
      </c>
      <c r="D784" s="6">
        <v>46155</v>
      </c>
      <c r="E784" t="s">
        <v>80</v>
      </c>
      <c r="F784" t="s">
        <v>42</v>
      </c>
      <c r="G784" t="s">
        <v>33</v>
      </c>
      <c r="H784" t="s">
        <v>66</v>
      </c>
      <c r="I784">
        <v>6</v>
      </c>
      <c r="J784" s="11">
        <v>383965</v>
      </c>
      <c r="K784" s="11">
        <v>25000</v>
      </c>
      <c r="L784" t="s">
        <v>35</v>
      </c>
      <c r="M784" t="s">
        <v>67</v>
      </c>
      <c r="N784" t="s">
        <v>61</v>
      </c>
    </row>
    <row r="785" spans="1:15" x14ac:dyDescent="0.25">
      <c r="A785" t="s">
        <v>1281</v>
      </c>
      <c r="B785" t="s">
        <v>830</v>
      </c>
      <c r="C785" t="s">
        <v>224</v>
      </c>
      <c r="D785" s="6">
        <v>46071</v>
      </c>
      <c r="E785" t="s">
        <v>80</v>
      </c>
      <c r="F785" t="s">
        <v>59</v>
      </c>
      <c r="G785" t="s">
        <v>75</v>
      </c>
      <c r="H785" t="s">
        <v>34</v>
      </c>
      <c r="I785">
        <v>2</v>
      </c>
      <c r="J785" s="11">
        <v>1581770</v>
      </c>
      <c r="K785" s="11">
        <v>25000</v>
      </c>
      <c r="L785" t="s">
        <v>48</v>
      </c>
      <c r="M785" t="s">
        <v>71</v>
      </c>
      <c r="N785" t="s">
        <v>61</v>
      </c>
    </row>
    <row r="786" spans="1:15" x14ac:dyDescent="0.25">
      <c r="A786" t="s">
        <v>1282</v>
      </c>
      <c r="B786" t="s">
        <v>710</v>
      </c>
      <c r="C786" t="s">
        <v>101</v>
      </c>
      <c r="D786" s="6">
        <v>46199</v>
      </c>
      <c r="E786" t="s">
        <v>53</v>
      </c>
      <c r="F786" t="s">
        <v>32</v>
      </c>
      <c r="G786" t="s">
        <v>85</v>
      </c>
      <c r="H786" t="s">
        <v>47</v>
      </c>
      <c r="I786">
        <v>6</v>
      </c>
      <c r="J786" s="11">
        <v>1357383</v>
      </c>
      <c r="K786" s="11">
        <v>15000</v>
      </c>
      <c r="L786" t="s">
        <v>35</v>
      </c>
      <c r="M786" t="s">
        <v>36</v>
      </c>
      <c r="N786" t="s">
        <v>61</v>
      </c>
    </row>
    <row r="787" spans="1:15" hidden="1" x14ac:dyDescent="0.25">
      <c r="A787" t="s">
        <v>1283</v>
      </c>
      <c r="B787" t="s">
        <v>146</v>
      </c>
      <c r="C787" t="s">
        <v>40</v>
      </c>
      <c r="D787" s="6">
        <v>46097</v>
      </c>
      <c r="E787" t="s">
        <v>41</v>
      </c>
      <c r="F787" t="s">
        <v>32</v>
      </c>
      <c r="G787" t="s">
        <v>85</v>
      </c>
      <c r="H787" t="s">
        <v>47</v>
      </c>
      <c r="I787">
        <v>5</v>
      </c>
      <c r="J787" s="11">
        <v>1156106</v>
      </c>
      <c r="K787" s="11">
        <v>15000</v>
      </c>
      <c r="L787" t="s">
        <v>48</v>
      </c>
      <c r="M787" t="s">
        <v>36</v>
      </c>
      <c r="N787" t="s">
        <v>37</v>
      </c>
    </row>
    <row r="788" spans="1:15" hidden="1" x14ac:dyDescent="0.25">
      <c r="A788" t="s">
        <v>1284</v>
      </c>
      <c r="B788" t="s">
        <v>270</v>
      </c>
      <c r="C788" t="s">
        <v>271</v>
      </c>
      <c r="D788" s="6">
        <v>46092</v>
      </c>
      <c r="E788" t="s">
        <v>80</v>
      </c>
      <c r="F788" t="s">
        <v>65</v>
      </c>
      <c r="G788" t="s">
        <v>60</v>
      </c>
      <c r="H788" t="s">
        <v>76</v>
      </c>
      <c r="I788">
        <v>3</v>
      </c>
      <c r="J788" s="11">
        <v>2045517</v>
      </c>
      <c r="K788" s="11">
        <v>50000</v>
      </c>
      <c r="L788" t="s">
        <v>35</v>
      </c>
      <c r="M788" t="s">
        <v>36</v>
      </c>
      <c r="N788" t="s">
        <v>37</v>
      </c>
    </row>
    <row r="789" spans="1:15" hidden="1" x14ac:dyDescent="0.25">
      <c r="A789" t="s">
        <v>1285</v>
      </c>
      <c r="B789" t="s">
        <v>571</v>
      </c>
      <c r="C789" t="s">
        <v>248</v>
      </c>
      <c r="D789" s="6">
        <v>46040</v>
      </c>
      <c r="E789" t="s">
        <v>53</v>
      </c>
      <c r="F789" t="s">
        <v>32</v>
      </c>
      <c r="G789" t="s">
        <v>46</v>
      </c>
      <c r="H789" t="s">
        <v>76</v>
      </c>
      <c r="I789">
        <v>4</v>
      </c>
      <c r="J789" s="11">
        <v>912421</v>
      </c>
      <c r="K789" s="11">
        <v>25000</v>
      </c>
      <c r="L789" t="s">
        <v>35</v>
      </c>
      <c r="M789" t="s">
        <v>49</v>
      </c>
      <c r="N789" t="s">
        <v>37</v>
      </c>
    </row>
    <row r="790" spans="1:15" x14ac:dyDescent="0.25">
      <c r="A790" t="s">
        <v>1286</v>
      </c>
      <c r="B790" t="s">
        <v>770</v>
      </c>
      <c r="C790" t="s">
        <v>101</v>
      </c>
      <c r="D790" s="6">
        <v>46091</v>
      </c>
      <c r="E790" t="s">
        <v>41</v>
      </c>
      <c r="F790" t="s">
        <v>32</v>
      </c>
      <c r="G790" t="s">
        <v>81</v>
      </c>
      <c r="H790" t="s">
        <v>34</v>
      </c>
      <c r="I790">
        <v>6</v>
      </c>
      <c r="J790" s="11">
        <v>333880</v>
      </c>
      <c r="K790" s="11">
        <v>35000</v>
      </c>
      <c r="L790" t="s">
        <v>89</v>
      </c>
      <c r="M790" t="s">
        <v>71</v>
      </c>
      <c r="N790" t="s">
        <v>61</v>
      </c>
    </row>
    <row r="791" spans="1:15" hidden="1" x14ac:dyDescent="0.25">
      <c r="A791" t="s">
        <v>1287</v>
      </c>
      <c r="B791" t="s">
        <v>407</v>
      </c>
      <c r="C791" t="s">
        <v>200</v>
      </c>
      <c r="D791" s="6">
        <v>46115</v>
      </c>
      <c r="E791" t="s">
        <v>53</v>
      </c>
      <c r="F791" t="s">
        <v>32</v>
      </c>
      <c r="G791" t="s">
        <v>85</v>
      </c>
      <c r="H791" t="s">
        <v>54</v>
      </c>
      <c r="I791">
        <v>7</v>
      </c>
      <c r="J791" s="11">
        <v>348598</v>
      </c>
      <c r="K791" s="11">
        <v>0</v>
      </c>
      <c r="L791" t="s">
        <v>35</v>
      </c>
      <c r="M791" t="s">
        <v>67</v>
      </c>
      <c r="N791" t="s">
        <v>37</v>
      </c>
      <c r="O791" t="s">
        <v>1377</v>
      </c>
    </row>
    <row r="792" spans="1:15" x14ac:dyDescent="0.25">
      <c r="A792" t="s">
        <v>1288</v>
      </c>
      <c r="B792" t="s">
        <v>874</v>
      </c>
      <c r="C792" t="s">
        <v>393</v>
      </c>
      <c r="D792" s="6">
        <v>46033</v>
      </c>
      <c r="E792" t="s">
        <v>80</v>
      </c>
      <c r="F792" t="s">
        <v>32</v>
      </c>
      <c r="G792" t="s">
        <v>60</v>
      </c>
      <c r="H792" t="s">
        <v>34</v>
      </c>
      <c r="I792">
        <v>1</v>
      </c>
      <c r="J792" s="11">
        <v>2496355</v>
      </c>
      <c r="K792" s="11">
        <v>0</v>
      </c>
      <c r="L792" t="s">
        <v>35</v>
      </c>
      <c r="M792" t="s">
        <v>49</v>
      </c>
      <c r="N792" t="s">
        <v>61</v>
      </c>
      <c r="O792" t="s">
        <v>1377</v>
      </c>
    </row>
    <row r="793" spans="1:15" x14ac:dyDescent="0.25">
      <c r="A793" t="s">
        <v>1289</v>
      </c>
      <c r="B793" t="s">
        <v>528</v>
      </c>
      <c r="C793" t="s">
        <v>170</v>
      </c>
      <c r="D793" s="6">
        <v>46181</v>
      </c>
      <c r="E793" t="s">
        <v>80</v>
      </c>
      <c r="F793" t="s">
        <v>42</v>
      </c>
      <c r="G793" t="s">
        <v>85</v>
      </c>
      <c r="H793" t="s">
        <v>47</v>
      </c>
      <c r="I793">
        <v>3</v>
      </c>
      <c r="J793" s="11">
        <v>1238770</v>
      </c>
      <c r="K793" s="11">
        <v>50000</v>
      </c>
      <c r="L793" t="s">
        <v>48</v>
      </c>
      <c r="N793" t="s">
        <v>61</v>
      </c>
      <c r="O793" t="s">
        <v>1379</v>
      </c>
    </row>
    <row r="794" spans="1:15" x14ac:dyDescent="0.25">
      <c r="A794" t="s">
        <v>1290</v>
      </c>
      <c r="B794" t="s">
        <v>87</v>
      </c>
      <c r="C794" t="s">
        <v>88</v>
      </c>
      <c r="D794" s="6">
        <v>46180</v>
      </c>
      <c r="E794" t="s">
        <v>80</v>
      </c>
      <c r="F794" t="s">
        <v>59</v>
      </c>
      <c r="G794" t="s">
        <v>81</v>
      </c>
      <c r="H794" t="s">
        <v>54</v>
      </c>
      <c r="I794">
        <v>1</v>
      </c>
      <c r="J794" s="11">
        <v>193151</v>
      </c>
      <c r="K794" s="11">
        <v>15000</v>
      </c>
      <c r="L794" t="s">
        <v>35</v>
      </c>
      <c r="M794" t="s">
        <v>36</v>
      </c>
      <c r="N794" t="s">
        <v>61</v>
      </c>
    </row>
    <row r="795" spans="1:15" x14ac:dyDescent="0.25">
      <c r="A795" t="s">
        <v>1292</v>
      </c>
      <c r="B795" t="s">
        <v>250</v>
      </c>
      <c r="C795" t="s">
        <v>204</v>
      </c>
      <c r="D795" s="6">
        <v>46127</v>
      </c>
      <c r="E795" t="s">
        <v>31</v>
      </c>
      <c r="F795" t="s">
        <v>32</v>
      </c>
      <c r="G795" t="s">
        <v>81</v>
      </c>
      <c r="H795" t="s">
        <v>54</v>
      </c>
      <c r="I795">
        <v>4</v>
      </c>
      <c r="J795" s="11">
        <v>1046829</v>
      </c>
      <c r="K795" s="11">
        <v>15000</v>
      </c>
      <c r="L795" t="s">
        <v>35</v>
      </c>
      <c r="M795" t="s">
        <v>71</v>
      </c>
      <c r="N795" t="s">
        <v>61</v>
      </c>
    </row>
    <row r="796" spans="1:15" hidden="1" x14ac:dyDescent="0.25">
      <c r="A796" t="s">
        <v>1293</v>
      </c>
      <c r="B796" t="s">
        <v>726</v>
      </c>
      <c r="C796" t="s">
        <v>727</v>
      </c>
      <c r="E796" t="s">
        <v>31</v>
      </c>
      <c r="F796" t="s">
        <v>42</v>
      </c>
      <c r="G796" t="s">
        <v>81</v>
      </c>
      <c r="H796" t="s">
        <v>54</v>
      </c>
      <c r="I796">
        <v>7</v>
      </c>
      <c r="J796" s="11">
        <v>1945332</v>
      </c>
      <c r="K796" s="11">
        <v>50000</v>
      </c>
      <c r="L796" t="s">
        <v>35</v>
      </c>
      <c r="M796" t="s">
        <v>36</v>
      </c>
      <c r="N796" t="s">
        <v>37</v>
      </c>
      <c r="O796" t="s">
        <v>1375</v>
      </c>
    </row>
    <row r="797" spans="1:15" hidden="1" x14ac:dyDescent="0.25">
      <c r="A797" t="s">
        <v>1295</v>
      </c>
      <c r="B797" t="s">
        <v>530</v>
      </c>
      <c r="C797" t="s">
        <v>382</v>
      </c>
      <c r="D797" s="6">
        <v>46136</v>
      </c>
      <c r="E797" t="s">
        <v>58</v>
      </c>
      <c r="F797" t="s">
        <v>32</v>
      </c>
      <c r="G797" t="s">
        <v>85</v>
      </c>
      <c r="H797" t="s">
        <v>47</v>
      </c>
      <c r="I797">
        <v>6</v>
      </c>
      <c r="J797" s="11">
        <v>1976095</v>
      </c>
      <c r="K797" s="11">
        <v>15000</v>
      </c>
      <c r="L797" t="s">
        <v>48</v>
      </c>
      <c r="M797" t="s">
        <v>49</v>
      </c>
      <c r="N797" t="s">
        <v>37</v>
      </c>
    </row>
    <row r="798" spans="1:15" x14ac:dyDescent="0.25">
      <c r="A798" t="s">
        <v>1296</v>
      </c>
      <c r="B798" t="s">
        <v>405</v>
      </c>
      <c r="C798" t="s">
        <v>107</v>
      </c>
      <c r="D798" s="6">
        <v>46157</v>
      </c>
      <c r="E798" t="s">
        <v>41</v>
      </c>
      <c r="F798" t="s">
        <v>42</v>
      </c>
      <c r="G798" t="s">
        <v>33</v>
      </c>
      <c r="H798" t="s">
        <v>34</v>
      </c>
      <c r="I798">
        <v>1</v>
      </c>
      <c r="J798" s="11"/>
      <c r="K798" s="11">
        <v>25000</v>
      </c>
      <c r="L798" t="s">
        <v>35</v>
      </c>
      <c r="M798" t="s">
        <v>36</v>
      </c>
      <c r="N798" t="s">
        <v>61</v>
      </c>
      <c r="O798" t="s">
        <v>1374</v>
      </c>
    </row>
    <row r="799" spans="1:15" hidden="1" x14ac:dyDescent="0.25">
      <c r="A799" t="s">
        <v>1297</v>
      </c>
      <c r="B799" t="s">
        <v>154</v>
      </c>
      <c r="C799" t="s">
        <v>84</v>
      </c>
      <c r="D799" s="6">
        <v>46201</v>
      </c>
      <c r="E799" t="s">
        <v>80</v>
      </c>
      <c r="F799" t="s">
        <v>59</v>
      </c>
      <c r="G799" t="s">
        <v>33</v>
      </c>
      <c r="H799" t="s">
        <v>34</v>
      </c>
      <c r="I799">
        <v>7</v>
      </c>
      <c r="J799" s="11">
        <v>1704038</v>
      </c>
      <c r="K799" s="11">
        <v>15000</v>
      </c>
      <c r="L799" t="s">
        <v>35</v>
      </c>
      <c r="M799" t="s">
        <v>67</v>
      </c>
      <c r="N799" t="s">
        <v>37</v>
      </c>
    </row>
    <row r="800" spans="1:15" hidden="1" x14ac:dyDescent="0.25">
      <c r="A800" t="s">
        <v>1298</v>
      </c>
      <c r="B800" t="s">
        <v>766</v>
      </c>
      <c r="C800" t="s">
        <v>152</v>
      </c>
      <c r="D800" s="6">
        <v>46082</v>
      </c>
      <c r="E800" t="s">
        <v>58</v>
      </c>
      <c r="F800" t="s">
        <v>59</v>
      </c>
      <c r="G800" t="s">
        <v>75</v>
      </c>
      <c r="H800" t="s">
        <v>54</v>
      </c>
      <c r="I800">
        <v>4</v>
      </c>
      <c r="J800" s="11">
        <v>1711503</v>
      </c>
      <c r="K800" s="11">
        <v>50000</v>
      </c>
      <c r="L800" t="s">
        <v>89</v>
      </c>
      <c r="M800" t="s">
        <v>71</v>
      </c>
      <c r="N800" t="s">
        <v>37</v>
      </c>
    </row>
    <row r="801" spans="1:15" hidden="1" x14ac:dyDescent="0.25">
      <c r="A801" t="s">
        <v>1299</v>
      </c>
      <c r="B801" t="s">
        <v>665</v>
      </c>
      <c r="C801" t="s">
        <v>442</v>
      </c>
      <c r="D801" s="6">
        <v>46111</v>
      </c>
      <c r="E801" t="s">
        <v>41</v>
      </c>
      <c r="F801" t="s">
        <v>65</v>
      </c>
      <c r="G801" t="s">
        <v>60</v>
      </c>
      <c r="H801" t="s">
        <v>66</v>
      </c>
      <c r="I801">
        <v>1</v>
      </c>
      <c r="J801" s="11">
        <v>1627938</v>
      </c>
      <c r="K801" s="11">
        <v>35000</v>
      </c>
      <c r="L801" t="s">
        <v>35</v>
      </c>
      <c r="M801" t="s">
        <v>36</v>
      </c>
      <c r="N801" t="s">
        <v>37</v>
      </c>
    </row>
    <row r="802" spans="1:15" hidden="1" x14ac:dyDescent="0.25">
      <c r="A802" t="s">
        <v>1300</v>
      </c>
      <c r="B802" t="s">
        <v>683</v>
      </c>
      <c r="C802" t="s">
        <v>170</v>
      </c>
      <c r="D802" s="6">
        <v>46091</v>
      </c>
      <c r="E802" t="s">
        <v>53</v>
      </c>
      <c r="F802" t="s">
        <v>42</v>
      </c>
      <c r="G802" t="s">
        <v>81</v>
      </c>
      <c r="H802" t="s">
        <v>47</v>
      </c>
      <c r="I802">
        <v>4</v>
      </c>
      <c r="J802" s="11">
        <v>1657609</v>
      </c>
      <c r="K802" s="11">
        <v>25000</v>
      </c>
      <c r="L802" t="s">
        <v>35</v>
      </c>
      <c r="M802" t="s">
        <v>67</v>
      </c>
      <c r="N802" t="s">
        <v>37</v>
      </c>
    </row>
    <row r="803" spans="1:15" hidden="1" x14ac:dyDescent="0.25">
      <c r="A803" t="s">
        <v>1301</v>
      </c>
      <c r="B803" t="s">
        <v>1194</v>
      </c>
      <c r="C803" t="s">
        <v>79</v>
      </c>
      <c r="D803" s="6">
        <v>46081</v>
      </c>
      <c r="E803" t="s">
        <v>80</v>
      </c>
      <c r="F803" t="s">
        <v>65</v>
      </c>
      <c r="G803" t="s">
        <v>46</v>
      </c>
      <c r="H803" t="s">
        <v>66</v>
      </c>
      <c r="I803">
        <v>1</v>
      </c>
      <c r="J803" s="11">
        <v>497372</v>
      </c>
      <c r="K803" s="11">
        <v>15000</v>
      </c>
      <c r="L803" t="s">
        <v>35</v>
      </c>
      <c r="M803" t="s">
        <v>36</v>
      </c>
      <c r="N803" t="s">
        <v>37</v>
      </c>
    </row>
    <row r="804" spans="1:15" x14ac:dyDescent="0.25">
      <c r="A804" t="s">
        <v>1302</v>
      </c>
      <c r="B804" t="s">
        <v>1303</v>
      </c>
      <c r="C804" t="s">
        <v>133</v>
      </c>
      <c r="D804" s="6">
        <v>46098</v>
      </c>
      <c r="E804" t="s">
        <v>31</v>
      </c>
      <c r="F804" t="s">
        <v>65</v>
      </c>
      <c r="G804" t="s">
        <v>85</v>
      </c>
      <c r="H804" t="s">
        <v>54</v>
      </c>
      <c r="I804">
        <v>3</v>
      </c>
      <c r="J804" s="11">
        <v>714056</v>
      </c>
      <c r="K804" s="11">
        <v>35000</v>
      </c>
      <c r="L804" t="s">
        <v>48</v>
      </c>
      <c r="M804" t="s">
        <v>71</v>
      </c>
      <c r="N804" t="s">
        <v>61</v>
      </c>
    </row>
    <row r="805" spans="1:15" x14ac:dyDescent="0.25">
      <c r="A805" t="s">
        <v>1304</v>
      </c>
      <c r="B805" t="s">
        <v>665</v>
      </c>
      <c r="C805" t="s">
        <v>442</v>
      </c>
      <c r="D805" s="6">
        <v>46190</v>
      </c>
      <c r="E805" t="s">
        <v>31</v>
      </c>
      <c r="F805" t="s">
        <v>42</v>
      </c>
      <c r="G805" t="s">
        <v>81</v>
      </c>
      <c r="H805" t="s">
        <v>34</v>
      </c>
      <c r="I805">
        <v>5</v>
      </c>
      <c r="J805" s="11">
        <v>857962</v>
      </c>
      <c r="K805" s="11">
        <v>25000</v>
      </c>
      <c r="L805" t="s">
        <v>35</v>
      </c>
      <c r="M805" t="s">
        <v>36</v>
      </c>
      <c r="N805" t="s">
        <v>61</v>
      </c>
    </row>
    <row r="806" spans="1:15" x14ac:dyDescent="0.25">
      <c r="A806" t="s">
        <v>1305</v>
      </c>
      <c r="B806" t="s">
        <v>237</v>
      </c>
      <c r="C806" t="s">
        <v>238</v>
      </c>
      <c r="D806" s="6">
        <v>46048</v>
      </c>
      <c r="E806" t="s">
        <v>80</v>
      </c>
      <c r="F806" t="s">
        <v>42</v>
      </c>
      <c r="G806" t="s">
        <v>85</v>
      </c>
      <c r="H806" t="s">
        <v>76</v>
      </c>
      <c r="I806">
        <v>5</v>
      </c>
      <c r="J806" s="11">
        <v>1248452</v>
      </c>
      <c r="K806" s="11">
        <v>15000</v>
      </c>
      <c r="L806" t="s">
        <v>35</v>
      </c>
      <c r="M806" t="s">
        <v>36</v>
      </c>
      <c r="N806" t="s">
        <v>61</v>
      </c>
    </row>
    <row r="807" spans="1:15" x14ac:dyDescent="0.25">
      <c r="A807" t="s">
        <v>1306</v>
      </c>
      <c r="B807" t="s">
        <v>699</v>
      </c>
      <c r="C807" t="s">
        <v>104</v>
      </c>
      <c r="D807" s="6">
        <v>46025</v>
      </c>
      <c r="E807" t="s">
        <v>53</v>
      </c>
      <c r="F807" t="s">
        <v>65</v>
      </c>
      <c r="G807" t="s">
        <v>60</v>
      </c>
      <c r="H807" t="s">
        <v>34</v>
      </c>
      <c r="I807">
        <v>7</v>
      </c>
      <c r="J807" s="11">
        <v>1485153</v>
      </c>
      <c r="K807" s="11">
        <v>15000</v>
      </c>
      <c r="L807" t="s">
        <v>35</v>
      </c>
      <c r="M807" t="s">
        <v>71</v>
      </c>
      <c r="N807" t="s">
        <v>61</v>
      </c>
    </row>
    <row r="808" spans="1:15" x14ac:dyDescent="0.25">
      <c r="A808" t="s">
        <v>1307</v>
      </c>
      <c r="B808" t="s">
        <v>1194</v>
      </c>
      <c r="C808" t="s">
        <v>79</v>
      </c>
      <c r="D808" s="6">
        <v>46143</v>
      </c>
      <c r="E808" t="s">
        <v>80</v>
      </c>
      <c r="F808" t="s">
        <v>59</v>
      </c>
      <c r="G808" t="s">
        <v>85</v>
      </c>
      <c r="H808" t="s">
        <v>47</v>
      </c>
      <c r="I808">
        <v>2</v>
      </c>
      <c r="J808" s="11">
        <v>773931</v>
      </c>
      <c r="K808" s="11">
        <v>15000</v>
      </c>
      <c r="L808" t="s">
        <v>48</v>
      </c>
      <c r="M808" t="s">
        <v>71</v>
      </c>
      <c r="N808" t="s">
        <v>61</v>
      </c>
    </row>
    <row r="809" spans="1:15" hidden="1" x14ac:dyDescent="0.25">
      <c r="A809" t="s">
        <v>1308</v>
      </c>
      <c r="B809" t="s">
        <v>707</v>
      </c>
      <c r="C809" t="s">
        <v>70</v>
      </c>
      <c r="D809" s="6">
        <v>46051</v>
      </c>
      <c r="E809" t="s">
        <v>41</v>
      </c>
      <c r="F809" t="s">
        <v>42</v>
      </c>
      <c r="G809" t="s">
        <v>81</v>
      </c>
      <c r="H809" t="s">
        <v>66</v>
      </c>
      <c r="I809">
        <v>6</v>
      </c>
      <c r="J809" s="11">
        <v>1161088</v>
      </c>
      <c r="K809" s="11">
        <v>15000</v>
      </c>
      <c r="L809" t="s">
        <v>35</v>
      </c>
      <c r="M809" t="s">
        <v>67</v>
      </c>
      <c r="N809" t="s">
        <v>37</v>
      </c>
    </row>
    <row r="810" spans="1:15" hidden="1" x14ac:dyDescent="0.25">
      <c r="A810" t="s">
        <v>1309</v>
      </c>
      <c r="B810" t="s">
        <v>595</v>
      </c>
      <c r="C810" t="s">
        <v>107</v>
      </c>
      <c r="D810" s="6">
        <v>46148</v>
      </c>
      <c r="E810" t="s">
        <v>41</v>
      </c>
      <c r="F810" t="s">
        <v>32</v>
      </c>
      <c r="G810" t="s">
        <v>46</v>
      </c>
      <c r="H810" t="s">
        <v>76</v>
      </c>
      <c r="I810">
        <v>5</v>
      </c>
      <c r="J810" s="11">
        <v>1776821</v>
      </c>
      <c r="K810" s="11">
        <v>50000</v>
      </c>
      <c r="L810" t="s">
        <v>35</v>
      </c>
      <c r="M810" t="s">
        <v>71</v>
      </c>
      <c r="N810" t="s">
        <v>37</v>
      </c>
    </row>
    <row r="811" spans="1:15" hidden="1" x14ac:dyDescent="0.25">
      <c r="A811" t="s">
        <v>1310</v>
      </c>
      <c r="B811" t="s">
        <v>555</v>
      </c>
      <c r="C811" t="s">
        <v>238</v>
      </c>
      <c r="D811" s="6">
        <v>46087</v>
      </c>
      <c r="E811" t="s">
        <v>58</v>
      </c>
      <c r="F811" t="s">
        <v>42</v>
      </c>
      <c r="G811" t="s">
        <v>81</v>
      </c>
      <c r="H811" t="s">
        <v>76</v>
      </c>
      <c r="I811">
        <v>2</v>
      </c>
      <c r="J811" s="11">
        <v>2315594</v>
      </c>
      <c r="K811" s="11">
        <v>35000</v>
      </c>
      <c r="L811" t="s">
        <v>35</v>
      </c>
      <c r="M811" t="s">
        <v>36</v>
      </c>
      <c r="N811" t="s">
        <v>37</v>
      </c>
    </row>
    <row r="812" spans="1:15" x14ac:dyDescent="0.25">
      <c r="A812" t="s">
        <v>1311</v>
      </c>
      <c r="B812" t="s">
        <v>392</v>
      </c>
      <c r="C812" t="s">
        <v>393</v>
      </c>
      <c r="D812" s="6">
        <v>46099</v>
      </c>
      <c r="E812" t="s">
        <v>58</v>
      </c>
      <c r="F812" t="s">
        <v>32</v>
      </c>
      <c r="G812" t="s">
        <v>60</v>
      </c>
      <c r="H812" t="s">
        <v>34</v>
      </c>
      <c r="I812">
        <v>4</v>
      </c>
      <c r="J812" s="11">
        <v>604593</v>
      </c>
      <c r="K812" s="11">
        <v>50000</v>
      </c>
      <c r="L812" t="s">
        <v>35</v>
      </c>
      <c r="M812" t="s">
        <v>67</v>
      </c>
      <c r="N812" t="s">
        <v>61</v>
      </c>
    </row>
    <row r="813" spans="1:15" x14ac:dyDescent="0.25">
      <c r="A813" t="s">
        <v>1312</v>
      </c>
      <c r="B813" t="s">
        <v>161</v>
      </c>
      <c r="C813" t="s">
        <v>136</v>
      </c>
      <c r="D813" s="6">
        <v>46134</v>
      </c>
      <c r="E813" t="s">
        <v>31</v>
      </c>
      <c r="F813" t="s">
        <v>32</v>
      </c>
      <c r="G813" t="s">
        <v>60</v>
      </c>
      <c r="H813" t="s">
        <v>34</v>
      </c>
      <c r="I813">
        <v>7</v>
      </c>
      <c r="J813" s="11">
        <v>737276</v>
      </c>
      <c r="K813" s="11">
        <v>35000</v>
      </c>
      <c r="L813" t="s">
        <v>35</v>
      </c>
      <c r="M813" t="s">
        <v>36</v>
      </c>
      <c r="N813" t="s">
        <v>61</v>
      </c>
    </row>
    <row r="814" spans="1:15" hidden="1" x14ac:dyDescent="0.25">
      <c r="A814" t="s">
        <v>1313</v>
      </c>
      <c r="B814" t="s">
        <v>434</v>
      </c>
      <c r="C814" t="s">
        <v>435</v>
      </c>
      <c r="D814" s="6">
        <v>46081</v>
      </c>
      <c r="E814" t="s">
        <v>80</v>
      </c>
      <c r="F814" t="s">
        <v>42</v>
      </c>
      <c r="G814" t="s">
        <v>60</v>
      </c>
      <c r="H814" t="s">
        <v>34</v>
      </c>
      <c r="I814">
        <v>4</v>
      </c>
      <c r="J814" s="11">
        <v>1961408</v>
      </c>
      <c r="K814" s="11">
        <v>25000</v>
      </c>
      <c r="L814" t="s">
        <v>35</v>
      </c>
      <c r="M814" t="s">
        <v>36</v>
      </c>
      <c r="N814" t="s">
        <v>37</v>
      </c>
    </row>
    <row r="815" spans="1:15" hidden="1" x14ac:dyDescent="0.25">
      <c r="A815" t="s">
        <v>1315</v>
      </c>
      <c r="B815" t="s">
        <v>296</v>
      </c>
      <c r="C815" t="s">
        <v>144</v>
      </c>
      <c r="D815" s="6">
        <v>46085</v>
      </c>
      <c r="E815" t="s">
        <v>41</v>
      </c>
      <c r="F815" t="s">
        <v>59</v>
      </c>
      <c r="G815" t="s">
        <v>81</v>
      </c>
      <c r="H815" t="s">
        <v>76</v>
      </c>
      <c r="I815">
        <v>3</v>
      </c>
      <c r="J815" s="11">
        <v>730428</v>
      </c>
      <c r="K815" s="11">
        <v>0</v>
      </c>
      <c r="L815" t="s">
        <v>35</v>
      </c>
      <c r="M815" t="s">
        <v>36</v>
      </c>
      <c r="N815" t="s">
        <v>37</v>
      </c>
      <c r="O815" t="s">
        <v>1377</v>
      </c>
    </row>
    <row r="816" spans="1:15" x14ac:dyDescent="0.25">
      <c r="A816" t="s">
        <v>1316</v>
      </c>
      <c r="B816" t="s">
        <v>635</v>
      </c>
      <c r="C816" t="s">
        <v>636</v>
      </c>
      <c r="D816" s="6">
        <v>46154</v>
      </c>
      <c r="E816" t="s">
        <v>41</v>
      </c>
      <c r="F816" t="s">
        <v>65</v>
      </c>
      <c r="G816" t="s">
        <v>33</v>
      </c>
      <c r="H816" t="s">
        <v>66</v>
      </c>
      <c r="I816">
        <v>1</v>
      </c>
      <c r="J816" s="11">
        <v>2433606</v>
      </c>
      <c r="K816" s="11">
        <v>35000</v>
      </c>
      <c r="L816" t="s">
        <v>245</v>
      </c>
      <c r="M816" t="s">
        <v>71</v>
      </c>
      <c r="N816" t="s">
        <v>61</v>
      </c>
    </row>
    <row r="817" spans="1:15" x14ac:dyDescent="0.25">
      <c r="A817" t="s">
        <v>1317</v>
      </c>
      <c r="B817" t="s">
        <v>218</v>
      </c>
      <c r="C817" t="s">
        <v>219</v>
      </c>
      <c r="D817" s="6">
        <v>46152</v>
      </c>
      <c r="E817" t="s">
        <v>80</v>
      </c>
      <c r="F817" t="s">
        <v>65</v>
      </c>
      <c r="G817" t="s">
        <v>81</v>
      </c>
      <c r="H817" t="s">
        <v>76</v>
      </c>
      <c r="I817">
        <v>1</v>
      </c>
      <c r="J817" s="11">
        <v>816025</v>
      </c>
      <c r="K817" s="11">
        <v>0</v>
      </c>
      <c r="L817" t="s">
        <v>35</v>
      </c>
      <c r="M817" t="s">
        <v>36</v>
      </c>
      <c r="N817" t="s">
        <v>61</v>
      </c>
      <c r="O817" t="s">
        <v>1377</v>
      </c>
    </row>
    <row r="818" spans="1:15" hidden="1" x14ac:dyDescent="0.25">
      <c r="A818" t="s">
        <v>1318</v>
      </c>
      <c r="B818" t="s">
        <v>369</v>
      </c>
      <c r="C818" t="s">
        <v>370</v>
      </c>
      <c r="D818" s="6">
        <v>46156</v>
      </c>
      <c r="E818" t="s">
        <v>41</v>
      </c>
      <c r="F818" t="s">
        <v>32</v>
      </c>
      <c r="G818" t="s">
        <v>46</v>
      </c>
      <c r="H818" t="s">
        <v>66</v>
      </c>
      <c r="I818">
        <v>4</v>
      </c>
      <c r="J818" s="11">
        <v>1677204</v>
      </c>
      <c r="K818" s="11">
        <v>0</v>
      </c>
      <c r="L818" t="s">
        <v>35</v>
      </c>
      <c r="M818" t="s">
        <v>71</v>
      </c>
      <c r="N818" t="s">
        <v>37</v>
      </c>
      <c r="O818" t="s">
        <v>1377</v>
      </c>
    </row>
    <row r="819" spans="1:15" x14ac:dyDescent="0.25">
      <c r="A819" t="s">
        <v>1319</v>
      </c>
      <c r="B819" t="s">
        <v>517</v>
      </c>
      <c r="C819" t="s">
        <v>470</v>
      </c>
      <c r="D819" s="6">
        <v>46036</v>
      </c>
      <c r="E819" t="s">
        <v>53</v>
      </c>
      <c r="F819" t="s">
        <v>65</v>
      </c>
      <c r="G819" t="s">
        <v>75</v>
      </c>
      <c r="H819" t="s">
        <v>76</v>
      </c>
      <c r="I819">
        <v>1</v>
      </c>
      <c r="J819" s="11">
        <v>2288444</v>
      </c>
      <c r="K819" s="11">
        <v>50000</v>
      </c>
      <c r="L819" t="s">
        <v>48</v>
      </c>
      <c r="M819" t="s">
        <v>71</v>
      </c>
      <c r="N819" t="s">
        <v>61</v>
      </c>
    </row>
    <row r="820" spans="1:15" hidden="1" x14ac:dyDescent="0.25">
      <c r="A820" t="s">
        <v>1320</v>
      </c>
      <c r="B820" t="s">
        <v>638</v>
      </c>
      <c r="C820" t="s">
        <v>241</v>
      </c>
      <c r="D820" s="6">
        <v>46119</v>
      </c>
      <c r="E820" t="s">
        <v>31</v>
      </c>
      <c r="F820" t="s">
        <v>42</v>
      </c>
      <c r="G820" t="s">
        <v>81</v>
      </c>
      <c r="H820" t="s">
        <v>76</v>
      </c>
      <c r="I820">
        <v>6</v>
      </c>
      <c r="J820" s="11">
        <v>1504758</v>
      </c>
      <c r="K820" s="11">
        <v>35000</v>
      </c>
      <c r="L820" t="s">
        <v>35</v>
      </c>
      <c r="M820" t="s">
        <v>67</v>
      </c>
      <c r="N820" t="s">
        <v>37</v>
      </c>
    </row>
    <row r="821" spans="1:15" hidden="1" x14ac:dyDescent="0.25">
      <c r="A821" t="s">
        <v>1321</v>
      </c>
      <c r="B821" t="s">
        <v>91</v>
      </c>
      <c r="C821" t="s">
        <v>92</v>
      </c>
      <c r="D821" s="6">
        <v>46123</v>
      </c>
      <c r="E821" t="s">
        <v>31</v>
      </c>
      <c r="F821" t="s">
        <v>59</v>
      </c>
      <c r="G821" t="s">
        <v>46</v>
      </c>
      <c r="H821" t="s">
        <v>34</v>
      </c>
      <c r="I821">
        <v>1</v>
      </c>
      <c r="J821" s="11">
        <v>1043743</v>
      </c>
      <c r="K821" s="11">
        <v>0</v>
      </c>
      <c r="L821" t="s">
        <v>35</v>
      </c>
      <c r="M821" t="s">
        <v>49</v>
      </c>
      <c r="N821" t="s">
        <v>37</v>
      </c>
      <c r="O821" t="s">
        <v>1377</v>
      </c>
    </row>
    <row r="822" spans="1:15" x14ac:dyDescent="0.25">
      <c r="D822"/>
      <c r="J822"/>
      <c r="K822"/>
    </row>
    <row r="823" spans="1:15" x14ac:dyDescent="0.25">
      <c r="A823">
        <f>COUNTA(DATA[Transaction ID])</f>
        <v>820</v>
      </c>
      <c r="D823"/>
      <c r="J823"/>
      <c r="K823"/>
    </row>
    <row r="824" spans="1:15" x14ac:dyDescent="0.25">
      <c r="D824"/>
      <c r="J824"/>
      <c r="K824"/>
    </row>
    <row r="825" spans="1:15" x14ac:dyDescent="0.25">
      <c r="D825"/>
      <c r="J825"/>
      <c r="K825"/>
    </row>
    <row r="826" spans="1:15" x14ac:dyDescent="0.25">
      <c r="D826"/>
      <c r="J826"/>
      <c r="K826"/>
    </row>
  </sheetData>
  <conditionalFormatting sqref="A1:A821 A827:A1048576">
    <cfRule type="duplicateValues" dxfId="0"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4365-9628-4503-97CE-FC6FC6A75E8D}">
  <dimension ref="A5:N33"/>
  <sheetViews>
    <sheetView topLeftCell="A2" zoomScale="87" workbookViewId="0">
      <selection activeCell="D16" sqref="D16"/>
    </sheetView>
  </sheetViews>
  <sheetFormatPr defaultRowHeight="15" x14ac:dyDescent="0.25"/>
  <cols>
    <col min="1" max="1" width="19" bestFit="1" customWidth="1"/>
    <col min="2" max="2" width="18.140625" bestFit="1" customWidth="1"/>
    <col min="3" max="3" width="21.7109375" bestFit="1" customWidth="1"/>
    <col min="9" max="9" width="20.7109375" bestFit="1" customWidth="1"/>
    <col min="10" max="10" width="16.7109375" bestFit="1" customWidth="1"/>
    <col min="11" max="11" width="21.85546875" customWidth="1"/>
    <col min="12" max="12" width="8.7109375" bestFit="1" customWidth="1"/>
    <col min="13" max="13" width="13.42578125" bestFit="1" customWidth="1"/>
    <col min="14" max="14" width="11.42578125" bestFit="1" customWidth="1"/>
    <col min="15" max="15" width="32.7109375" bestFit="1" customWidth="1"/>
    <col min="16" max="16" width="17.7109375" bestFit="1" customWidth="1"/>
    <col min="17" max="17" width="33.85546875" bestFit="1" customWidth="1"/>
    <col min="18" max="18" width="17.28515625" bestFit="1" customWidth="1"/>
    <col min="19" max="19" width="18.42578125" bestFit="1" customWidth="1"/>
    <col min="20" max="20" width="33.28515625" bestFit="1" customWidth="1"/>
    <col min="21" max="21" width="7.28515625" bestFit="1" customWidth="1"/>
    <col min="22" max="22" width="11.28515625" bestFit="1" customWidth="1"/>
  </cols>
  <sheetData>
    <row r="5" spans="1:14" x14ac:dyDescent="0.25">
      <c r="A5" s="8" t="s">
        <v>1385</v>
      </c>
      <c r="B5" t="s">
        <v>1389</v>
      </c>
      <c r="C5" t="s">
        <v>1387</v>
      </c>
      <c r="I5" s="8" t="s">
        <v>1388</v>
      </c>
      <c r="J5" s="8" t="s">
        <v>1393</v>
      </c>
    </row>
    <row r="6" spans="1:14" x14ac:dyDescent="0.25">
      <c r="A6" s="9" t="s">
        <v>59</v>
      </c>
      <c r="B6" s="10">
        <v>220</v>
      </c>
      <c r="C6" s="10">
        <v>285563620</v>
      </c>
      <c r="I6" s="8" t="s">
        <v>1385</v>
      </c>
      <c r="J6" t="s">
        <v>49</v>
      </c>
      <c r="K6" t="s">
        <v>71</v>
      </c>
      <c r="L6" t="s">
        <v>36</v>
      </c>
      <c r="M6" t="s">
        <v>67</v>
      </c>
      <c r="N6" t="s">
        <v>1386</v>
      </c>
    </row>
    <row r="7" spans="1:14" x14ac:dyDescent="0.25">
      <c r="A7" s="9" t="s">
        <v>65</v>
      </c>
      <c r="B7" s="10">
        <v>206</v>
      </c>
      <c r="C7" s="10">
        <v>264878445</v>
      </c>
      <c r="I7" s="9" t="s">
        <v>245</v>
      </c>
      <c r="J7">
        <v>3</v>
      </c>
      <c r="K7">
        <v>5</v>
      </c>
      <c r="L7">
        <v>16</v>
      </c>
      <c r="M7">
        <v>15</v>
      </c>
      <c r="N7">
        <v>39</v>
      </c>
    </row>
    <row r="8" spans="1:14" x14ac:dyDescent="0.25">
      <c r="A8" s="9" t="s">
        <v>42</v>
      </c>
      <c r="B8" s="10">
        <v>188</v>
      </c>
      <c r="C8" s="10">
        <v>231457776</v>
      </c>
      <c r="I8" s="9" t="s">
        <v>48</v>
      </c>
      <c r="J8">
        <v>20</v>
      </c>
      <c r="K8">
        <v>29</v>
      </c>
      <c r="L8">
        <v>24</v>
      </c>
      <c r="M8">
        <v>5</v>
      </c>
      <c r="N8">
        <v>78</v>
      </c>
    </row>
    <row r="9" spans="1:14" x14ac:dyDescent="0.25">
      <c r="A9" s="9" t="s">
        <v>32</v>
      </c>
      <c r="B9" s="10">
        <v>198</v>
      </c>
      <c r="C9" s="10">
        <v>256546229</v>
      </c>
      <c r="I9" s="9" t="s">
        <v>35</v>
      </c>
      <c r="J9">
        <v>54</v>
      </c>
      <c r="K9">
        <v>95</v>
      </c>
      <c r="L9">
        <v>260</v>
      </c>
      <c r="M9">
        <v>232</v>
      </c>
      <c r="N9">
        <v>641</v>
      </c>
    </row>
    <row r="10" spans="1:14" x14ac:dyDescent="0.25">
      <c r="A10" s="9" t="s">
        <v>1386</v>
      </c>
      <c r="B10" s="10">
        <v>812</v>
      </c>
      <c r="C10" s="10">
        <v>1038446070</v>
      </c>
      <c r="I10" s="9" t="s">
        <v>89</v>
      </c>
      <c r="J10">
        <v>14</v>
      </c>
      <c r="K10">
        <v>20</v>
      </c>
      <c r="L10">
        <v>7</v>
      </c>
      <c r="N10">
        <v>41</v>
      </c>
    </row>
    <row r="11" spans="1:14" x14ac:dyDescent="0.25">
      <c r="I11" s="9" t="s">
        <v>1386</v>
      </c>
      <c r="J11">
        <v>91</v>
      </c>
      <c r="K11">
        <v>149</v>
      </c>
      <c r="L11">
        <v>307</v>
      </c>
      <c r="M11">
        <v>252</v>
      </c>
      <c r="N11">
        <v>799</v>
      </c>
    </row>
    <row r="14" spans="1:14" x14ac:dyDescent="0.25">
      <c r="A14" s="8" t="s">
        <v>1385</v>
      </c>
      <c r="B14" t="s">
        <v>1391</v>
      </c>
      <c r="C14" t="s">
        <v>1387</v>
      </c>
    </row>
    <row r="15" spans="1:14" x14ac:dyDescent="0.25">
      <c r="A15" s="9" t="s">
        <v>46</v>
      </c>
      <c r="B15" s="10">
        <v>1251257.6887417219</v>
      </c>
      <c r="C15" s="10">
        <v>188939911</v>
      </c>
      <c r="I15" s="8" t="s">
        <v>1385</v>
      </c>
      <c r="J15" t="s">
        <v>1392</v>
      </c>
      <c r="K15" t="s">
        <v>1387</v>
      </c>
    </row>
    <row r="16" spans="1:14" x14ac:dyDescent="0.25">
      <c r="A16" s="9" t="s">
        <v>81</v>
      </c>
      <c r="B16" s="10">
        <v>1236734.8110236221</v>
      </c>
      <c r="C16" s="10">
        <v>157065321</v>
      </c>
      <c r="I16" s="9" t="s">
        <v>31</v>
      </c>
      <c r="J16">
        <v>184</v>
      </c>
      <c r="K16" s="10">
        <v>233337355</v>
      </c>
    </row>
    <row r="17" spans="1:11" x14ac:dyDescent="0.25">
      <c r="A17" s="9" t="s">
        <v>60</v>
      </c>
      <c r="B17" s="10">
        <v>1293641.9347826086</v>
      </c>
      <c r="C17" s="10">
        <v>178522587</v>
      </c>
      <c r="I17" s="9" t="s">
        <v>58</v>
      </c>
      <c r="J17">
        <v>156</v>
      </c>
      <c r="K17" s="10">
        <v>197319462</v>
      </c>
    </row>
    <row r="18" spans="1:11" x14ac:dyDescent="0.25">
      <c r="A18" s="9" t="s">
        <v>75</v>
      </c>
      <c r="B18" s="10">
        <v>1330233.2113821139</v>
      </c>
      <c r="C18" s="10">
        <v>163618685</v>
      </c>
      <c r="I18" s="9" t="s">
        <v>53</v>
      </c>
      <c r="J18">
        <v>142</v>
      </c>
      <c r="K18" s="10">
        <v>179534889</v>
      </c>
    </row>
    <row r="19" spans="1:11" x14ac:dyDescent="0.25">
      <c r="A19" s="9" t="s">
        <v>85</v>
      </c>
      <c r="B19" s="10">
        <v>1322448.2198581561</v>
      </c>
      <c r="C19" s="10">
        <v>186465199</v>
      </c>
      <c r="I19" s="9" t="s">
        <v>41</v>
      </c>
      <c r="J19">
        <v>188</v>
      </c>
      <c r="K19" s="10">
        <v>224421655</v>
      </c>
    </row>
    <row r="20" spans="1:11" x14ac:dyDescent="0.25">
      <c r="A20" s="9" t="s">
        <v>33</v>
      </c>
      <c r="B20" s="10">
        <v>1279955.9921875</v>
      </c>
      <c r="C20" s="10">
        <v>163834367</v>
      </c>
      <c r="I20" s="9" t="s">
        <v>80</v>
      </c>
      <c r="J20">
        <v>150</v>
      </c>
      <c r="K20" s="10">
        <v>203832709</v>
      </c>
    </row>
    <row r="21" spans="1:11" x14ac:dyDescent="0.25">
      <c r="A21" s="9" t="s">
        <v>1386</v>
      </c>
      <c r="B21" s="10">
        <v>1285205.5321782178</v>
      </c>
      <c r="C21" s="10">
        <v>1038446070</v>
      </c>
      <c r="I21" s="9" t="s">
        <v>1386</v>
      </c>
      <c r="J21">
        <v>820</v>
      </c>
      <c r="K21" s="10">
        <v>1038446070</v>
      </c>
    </row>
    <row r="22" spans="1:11" x14ac:dyDescent="0.25">
      <c r="A22" s="9"/>
      <c r="B22" s="10"/>
      <c r="C22" s="10"/>
    </row>
    <row r="23" spans="1:11" x14ac:dyDescent="0.25">
      <c r="A23" s="9"/>
      <c r="B23" s="10"/>
      <c r="C23" s="10"/>
    </row>
    <row r="25" spans="1:11" x14ac:dyDescent="0.25">
      <c r="B25" s="8" t="s">
        <v>19</v>
      </c>
      <c r="C25" t="s">
        <v>42</v>
      </c>
    </row>
    <row r="27" spans="1:11" x14ac:dyDescent="0.25">
      <c r="B27" s="8" t="s">
        <v>1385</v>
      </c>
      <c r="C27" t="s">
        <v>1392</v>
      </c>
    </row>
    <row r="28" spans="1:11" x14ac:dyDescent="0.25">
      <c r="B28" s="9" t="s">
        <v>34</v>
      </c>
      <c r="C28">
        <v>40</v>
      </c>
    </row>
    <row r="29" spans="1:11" x14ac:dyDescent="0.25">
      <c r="B29" s="9" t="s">
        <v>54</v>
      </c>
      <c r="C29">
        <v>39</v>
      </c>
    </row>
    <row r="30" spans="1:11" x14ac:dyDescent="0.25">
      <c r="B30" s="9" t="s">
        <v>66</v>
      </c>
      <c r="C30">
        <v>46</v>
      </c>
    </row>
    <row r="31" spans="1:11" x14ac:dyDescent="0.25">
      <c r="B31" s="9" t="s">
        <v>76</v>
      </c>
      <c r="C31">
        <v>30</v>
      </c>
    </row>
    <row r="32" spans="1:11" x14ac:dyDescent="0.25">
      <c r="B32" s="9" t="s">
        <v>47</v>
      </c>
      <c r="C32">
        <v>38</v>
      </c>
    </row>
    <row r="33" spans="2:3" x14ac:dyDescent="0.25">
      <c r="B33" s="9" t="s">
        <v>1386</v>
      </c>
      <c r="C33">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3EB8-30B6-4FBD-ACD8-F303D56B78D0}">
  <sheetPr>
    <pageSetUpPr fitToPage="1"/>
  </sheetPr>
  <dimension ref="B1:Q46"/>
  <sheetViews>
    <sheetView showGridLines="0" topLeftCell="A2" zoomScale="82" zoomScaleNormal="72" workbookViewId="0">
      <selection activeCell="B2" sqref="B2:P38"/>
    </sheetView>
  </sheetViews>
  <sheetFormatPr defaultColWidth="8.85546875" defaultRowHeight="15" x14ac:dyDescent="0.25"/>
  <cols>
    <col min="1" max="1" width="12" customWidth="1"/>
    <col min="2" max="2" width="20" bestFit="1" customWidth="1"/>
    <col min="3" max="3" width="16.28515625" bestFit="1" customWidth="1"/>
    <col min="4" max="4" width="9.7109375" bestFit="1" customWidth="1"/>
    <col min="5" max="5" width="12.140625" bestFit="1" customWidth="1"/>
    <col min="6" max="6" width="14.140625" bestFit="1" customWidth="1"/>
    <col min="7" max="7" width="8.140625" bestFit="1" customWidth="1"/>
    <col min="8" max="8" width="8.5703125" bestFit="1" customWidth="1"/>
    <col min="9" max="9" width="11.28515625" bestFit="1" customWidth="1"/>
    <col min="10" max="15" width="12" customWidth="1"/>
    <col min="16" max="16" width="25.85546875" customWidth="1"/>
    <col min="17" max="17" width="21" bestFit="1" customWidth="1"/>
  </cols>
  <sheetData>
    <row r="1" spans="2:17" ht="20.100000000000001" customHeight="1" x14ac:dyDescent="0.25"/>
    <row r="2" spans="2:17" ht="20.100000000000001" customHeight="1" x14ac:dyDescent="0.25">
      <c r="B2" s="51" t="s">
        <v>1395</v>
      </c>
      <c r="C2" s="52"/>
      <c r="D2" s="52"/>
      <c r="E2" s="52"/>
      <c r="F2" s="52"/>
      <c r="G2" s="52"/>
      <c r="H2" s="52"/>
      <c r="I2" s="52"/>
      <c r="J2" s="52"/>
      <c r="K2" s="52"/>
      <c r="L2" s="52"/>
      <c r="M2" s="52"/>
      <c r="N2" s="52"/>
      <c r="O2" s="52"/>
      <c r="P2" s="53"/>
      <c r="Q2" s="12"/>
    </row>
    <row r="3" spans="2:17" ht="20.100000000000001" customHeight="1" x14ac:dyDescent="0.25">
      <c r="B3" s="54"/>
      <c r="C3" s="55"/>
      <c r="D3" s="55"/>
      <c r="E3" s="55"/>
      <c r="F3" s="55"/>
      <c r="G3" s="55"/>
      <c r="H3" s="55"/>
      <c r="I3" s="55"/>
      <c r="J3" s="55"/>
      <c r="K3" s="55"/>
      <c r="L3" s="55"/>
      <c r="M3" s="55"/>
      <c r="N3" s="55"/>
      <c r="O3" s="55"/>
      <c r="P3" s="56"/>
      <c r="Q3" s="12"/>
    </row>
    <row r="4" spans="2:17" ht="20.100000000000001" customHeight="1" x14ac:dyDescent="0.25">
      <c r="B4" s="48" t="s">
        <v>1396</v>
      </c>
      <c r="C4" s="49"/>
      <c r="D4" s="49"/>
      <c r="E4" s="49"/>
      <c r="F4" s="49"/>
      <c r="G4" s="49"/>
      <c r="H4" s="49"/>
      <c r="I4" s="49"/>
      <c r="J4" s="49"/>
      <c r="K4" s="49"/>
      <c r="L4" s="49"/>
      <c r="M4" s="49"/>
      <c r="N4" s="49"/>
      <c r="O4" s="49"/>
      <c r="P4" s="50"/>
      <c r="Q4" s="12"/>
    </row>
    <row r="5" spans="2:17" ht="20.100000000000001" customHeight="1" x14ac:dyDescent="0.25">
      <c r="B5" s="45" t="s">
        <v>1397</v>
      </c>
      <c r="C5" s="46"/>
      <c r="D5" s="47"/>
      <c r="E5" s="45" t="s">
        <v>1405</v>
      </c>
      <c r="F5" s="46"/>
      <c r="G5" s="47"/>
      <c r="H5" s="45" t="s">
        <v>1398</v>
      </c>
      <c r="I5" s="46"/>
      <c r="J5" s="47"/>
      <c r="K5" s="45" t="s">
        <v>1399</v>
      </c>
      <c r="L5" s="46"/>
      <c r="M5" s="47"/>
      <c r="N5" s="45" t="s">
        <v>1406</v>
      </c>
      <c r="O5" s="46"/>
      <c r="P5" s="47"/>
      <c r="Q5" s="12"/>
    </row>
    <row r="6" spans="2:17" ht="20.100000000000001" customHeight="1" x14ac:dyDescent="0.25">
      <c r="B6" s="36">
        <f>GETPIVOTDATA("Sum of Order Value",'Summary Analysis'!$A$5)</f>
        <v>1038446070</v>
      </c>
      <c r="C6" s="37"/>
      <c r="D6" s="38"/>
      <c r="E6" s="36">
        <f>SUM('Cleaned Data'!I2:I821)</f>
        <v>3329</v>
      </c>
      <c r="F6" s="37"/>
      <c r="G6" s="38"/>
      <c r="H6" s="36">
        <f>COUNTIF('Cleaned Data'!O2:O821,"")</f>
        <v>627</v>
      </c>
      <c r="I6" s="37"/>
      <c r="J6" s="38"/>
      <c r="K6" s="36">
        <f>B6/H6</f>
        <v>1656213.8277511962</v>
      </c>
      <c r="L6" s="37"/>
      <c r="M6" s="38"/>
      <c r="N6" s="27">
        <f>COUNTIF('Cleaned Data'!O2:O821,"Check *")</f>
        <v>193</v>
      </c>
      <c r="O6" s="28"/>
      <c r="P6" s="29"/>
    </row>
    <row r="7" spans="2:17" ht="20.100000000000001" customHeight="1" x14ac:dyDescent="0.25">
      <c r="B7" s="39"/>
      <c r="C7" s="40"/>
      <c r="D7" s="41"/>
      <c r="E7" s="39"/>
      <c r="F7" s="40"/>
      <c r="G7" s="41"/>
      <c r="H7" s="39"/>
      <c r="I7" s="40"/>
      <c r="J7" s="41"/>
      <c r="K7" s="39"/>
      <c r="L7" s="40"/>
      <c r="M7" s="41"/>
      <c r="N7" s="30"/>
      <c r="O7" s="31"/>
      <c r="P7" s="32"/>
    </row>
    <row r="8" spans="2:17" ht="20.100000000000001" customHeight="1" x14ac:dyDescent="0.25">
      <c r="B8" s="42"/>
      <c r="C8" s="43"/>
      <c r="D8" s="44"/>
      <c r="E8" s="42"/>
      <c r="F8" s="43"/>
      <c r="G8" s="44"/>
      <c r="H8" s="42"/>
      <c r="I8" s="43"/>
      <c r="J8" s="44"/>
      <c r="K8" s="42"/>
      <c r="L8" s="43"/>
      <c r="M8" s="44"/>
      <c r="N8" s="33"/>
      <c r="O8" s="34"/>
      <c r="P8" s="35"/>
      <c r="Q8" s="12"/>
    </row>
    <row r="9" spans="2:17" ht="20.100000000000001" customHeight="1" x14ac:dyDescent="0.25">
      <c r="B9" s="24" t="s">
        <v>1400</v>
      </c>
      <c r="C9" s="25"/>
      <c r="D9" s="26"/>
      <c r="E9" s="21" t="s">
        <v>1401</v>
      </c>
      <c r="F9" s="22"/>
      <c r="G9" s="23"/>
      <c r="H9" s="21" t="s">
        <v>1402</v>
      </c>
      <c r="I9" s="22"/>
      <c r="J9" s="23"/>
      <c r="K9" s="21" t="s">
        <v>1403</v>
      </c>
      <c r="L9" s="22"/>
      <c r="M9" s="23"/>
      <c r="N9" s="21" t="s">
        <v>1404</v>
      </c>
      <c r="O9" s="22"/>
      <c r="P9" s="23"/>
      <c r="Q9" s="12"/>
    </row>
    <row r="10" spans="2:17" ht="20.100000000000001" customHeight="1" x14ac:dyDescent="0.25"/>
    <row r="11" spans="2:17" ht="20.100000000000001" customHeight="1" x14ac:dyDescent="0.25"/>
    <row r="12" spans="2:17" ht="20.100000000000001" customHeight="1" x14ac:dyDescent="0.25"/>
    <row r="13" spans="2:17" ht="20.100000000000001" customHeight="1" x14ac:dyDescent="0.25"/>
    <row r="14" spans="2:17" ht="20.100000000000001" customHeight="1" x14ac:dyDescent="0.25"/>
    <row r="15" spans="2:17" ht="20.100000000000001" customHeight="1" x14ac:dyDescent="0.25"/>
    <row r="16" spans="2:17"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sheetData>
  <mergeCells count="17">
    <mergeCell ref="B2:P3"/>
    <mergeCell ref="B4:P4"/>
    <mergeCell ref="B5:D5"/>
    <mergeCell ref="E5:G5"/>
    <mergeCell ref="H5:J5"/>
    <mergeCell ref="K5:M5"/>
    <mergeCell ref="N5:P5"/>
    <mergeCell ref="B6:D8"/>
    <mergeCell ref="E6:G8"/>
    <mergeCell ref="H6:J8"/>
    <mergeCell ref="K6:M8"/>
    <mergeCell ref="N6:P8"/>
    <mergeCell ref="B9:D9"/>
    <mergeCell ref="E9:G9"/>
    <mergeCell ref="H9:J9"/>
    <mergeCell ref="K9:M9"/>
    <mergeCell ref="N9:P9"/>
  </mergeCells>
  <pageMargins left="0.75" right="0.75" top="1" bottom="1" header="0.5" footer="0.5"/>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3FA0-120C-405A-ACBE-360462CEFD39}">
  <dimension ref="B4:L52"/>
  <sheetViews>
    <sheetView zoomScale="81" workbookViewId="0">
      <selection activeCell="C7" sqref="C7"/>
    </sheetView>
  </sheetViews>
  <sheetFormatPr defaultRowHeight="15" x14ac:dyDescent="0.25"/>
  <cols>
    <col min="2" max="2" width="20.85546875" bestFit="1" customWidth="1"/>
    <col min="3" max="3" width="18.7109375" bestFit="1" customWidth="1"/>
    <col min="4" max="4" width="20.140625" bestFit="1" customWidth="1"/>
    <col min="5" max="5" width="11.7109375" bestFit="1" customWidth="1"/>
    <col min="6" max="6" width="22.5703125" bestFit="1" customWidth="1"/>
    <col min="7" max="7" width="19" bestFit="1" customWidth="1"/>
    <col min="8" max="8" width="7.5703125" bestFit="1" customWidth="1"/>
    <col min="9" max="9" width="9.7109375" bestFit="1" customWidth="1"/>
    <col min="10" max="10" width="7.28515625" bestFit="1" customWidth="1"/>
    <col min="11" max="11" width="9.28515625" bestFit="1" customWidth="1"/>
    <col min="12" max="12" width="11.42578125" bestFit="1" customWidth="1"/>
  </cols>
  <sheetData>
    <row r="4" spans="2:12" x14ac:dyDescent="0.25">
      <c r="B4" s="8" t="s">
        <v>1385</v>
      </c>
      <c r="C4" t="s">
        <v>1387</v>
      </c>
      <c r="F4" s="8" t="s">
        <v>1407</v>
      </c>
      <c r="G4" s="8" t="s">
        <v>21</v>
      </c>
    </row>
    <row r="5" spans="2:12" x14ac:dyDescent="0.25">
      <c r="B5" s="9" t="s">
        <v>34</v>
      </c>
      <c r="C5" s="13">
        <v>210050493</v>
      </c>
      <c r="F5" s="8" t="s">
        <v>18</v>
      </c>
      <c r="G5" t="s">
        <v>31</v>
      </c>
      <c r="H5" t="s">
        <v>58</v>
      </c>
      <c r="I5" t="s">
        <v>53</v>
      </c>
      <c r="J5" t="s">
        <v>41</v>
      </c>
      <c r="K5" t="s">
        <v>80</v>
      </c>
      <c r="L5" t="s">
        <v>1386</v>
      </c>
    </row>
    <row r="6" spans="2:12" x14ac:dyDescent="0.25">
      <c r="B6" s="9" t="s">
        <v>54</v>
      </c>
      <c r="C6" s="13">
        <v>208400345</v>
      </c>
      <c r="F6" s="9" t="s">
        <v>34</v>
      </c>
      <c r="G6">
        <v>163</v>
      </c>
      <c r="H6">
        <v>134</v>
      </c>
      <c r="I6">
        <v>96</v>
      </c>
      <c r="J6">
        <v>147</v>
      </c>
      <c r="K6">
        <v>152</v>
      </c>
      <c r="L6">
        <v>692</v>
      </c>
    </row>
    <row r="7" spans="2:12" x14ac:dyDescent="0.25">
      <c r="B7" s="9" t="s">
        <v>66</v>
      </c>
      <c r="C7" s="13">
        <v>227735950</v>
      </c>
      <c r="F7" s="9" t="s">
        <v>54</v>
      </c>
      <c r="G7">
        <v>152</v>
      </c>
      <c r="H7">
        <v>112</v>
      </c>
      <c r="I7">
        <v>146</v>
      </c>
      <c r="J7">
        <v>148</v>
      </c>
      <c r="K7">
        <v>115</v>
      </c>
      <c r="L7">
        <v>673</v>
      </c>
    </row>
    <row r="8" spans="2:12" x14ac:dyDescent="0.25">
      <c r="B8" s="9" t="s">
        <v>76</v>
      </c>
      <c r="C8" s="13">
        <v>175369006</v>
      </c>
      <c r="F8" s="9" t="s">
        <v>66</v>
      </c>
      <c r="G8">
        <v>168</v>
      </c>
      <c r="H8">
        <v>117</v>
      </c>
      <c r="I8">
        <v>124</v>
      </c>
      <c r="J8">
        <v>148</v>
      </c>
      <c r="K8">
        <v>134</v>
      </c>
      <c r="L8">
        <v>691</v>
      </c>
    </row>
    <row r="9" spans="2:12" x14ac:dyDescent="0.25">
      <c r="B9" s="9" t="s">
        <v>47</v>
      </c>
      <c r="C9" s="13">
        <v>216890276</v>
      </c>
      <c r="F9" s="9" t="s">
        <v>76</v>
      </c>
      <c r="G9">
        <v>134</v>
      </c>
      <c r="H9">
        <v>115</v>
      </c>
      <c r="I9">
        <v>81</v>
      </c>
      <c r="J9">
        <v>139</v>
      </c>
      <c r="K9">
        <v>94</v>
      </c>
      <c r="L9">
        <v>563</v>
      </c>
    </row>
    <row r="10" spans="2:12" x14ac:dyDescent="0.25">
      <c r="B10" s="9" t="s">
        <v>1386</v>
      </c>
      <c r="C10" s="13">
        <v>1038446070</v>
      </c>
      <c r="F10" s="9" t="s">
        <v>47</v>
      </c>
      <c r="G10">
        <v>174</v>
      </c>
      <c r="H10">
        <v>122</v>
      </c>
      <c r="I10">
        <v>132</v>
      </c>
      <c r="J10">
        <v>157</v>
      </c>
      <c r="K10">
        <v>125</v>
      </c>
      <c r="L10">
        <v>710</v>
      </c>
    </row>
    <row r="11" spans="2:12" x14ac:dyDescent="0.25">
      <c r="F11" s="9" t="s">
        <v>1386</v>
      </c>
      <c r="G11">
        <v>791</v>
      </c>
      <c r="H11">
        <v>600</v>
      </c>
      <c r="I11">
        <v>579</v>
      </c>
      <c r="J11">
        <v>739</v>
      </c>
      <c r="K11">
        <v>620</v>
      </c>
      <c r="L11">
        <v>3329</v>
      </c>
    </row>
    <row r="14" spans="2:12" x14ac:dyDescent="0.25">
      <c r="B14" s="8" t="s">
        <v>1388</v>
      </c>
      <c r="C14" s="8" t="s">
        <v>1393</v>
      </c>
    </row>
    <row r="15" spans="2:12" x14ac:dyDescent="0.25">
      <c r="B15" s="8" t="s">
        <v>1385</v>
      </c>
      <c r="C15" t="s">
        <v>46</v>
      </c>
      <c r="D15" t="s">
        <v>81</v>
      </c>
      <c r="E15" t="s">
        <v>60</v>
      </c>
      <c r="F15" t="s">
        <v>75</v>
      </c>
      <c r="G15" t="s">
        <v>85</v>
      </c>
      <c r="H15" t="s">
        <v>33</v>
      </c>
      <c r="I15" t="s">
        <v>1386</v>
      </c>
    </row>
    <row r="16" spans="2:12" x14ac:dyDescent="0.25">
      <c r="B16" s="9" t="s">
        <v>59</v>
      </c>
      <c r="C16" s="13">
        <v>45</v>
      </c>
      <c r="D16" s="13">
        <v>36</v>
      </c>
      <c r="E16" s="13">
        <v>31</v>
      </c>
      <c r="F16" s="13">
        <v>42</v>
      </c>
      <c r="G16" s="13">
        <v>29</v>
      </c>
      <c r="H16" s="13">
        <v>32</v>
      </c>
      <c r="I16" s="13">
        <v>215</v>
      </c>
    </row>
    <row r="17" spans="2:9" x14ac:dyDescent="0.25">
      <c r="B17" s="9" t="s">
        <v>65</v>
      </c>
      <c r="C17" s="13">
        <v>29</v>
      </c>
      <c r="D17" s="13">
        <v>34</v>
      </c>
      <c r="E17" s="13">
        <v>44</v>
      </c>
      <c r="F17" s="13">
        <v>34</v>
      </c>
      <c r="G17" s="13">
        <v>31</v>
      </c>
      <c r="H17" s="13">
        <v>35</v>
      </c>
      <c r="I17" s="13">
        <v>207</v>
      </c>
    </row>
    <row r="18" spans="2:9" x14ac:dyDescent="0.25">
      <c r="B18" s="9" t="s">
        <v>42</v>
      </c>
      <c r="C18" s="13">
        <v>33</v>
      </c>
      <c r="D18" s="13">
        <v>34</v>
      </c>
      <c r="E18" s="13">
        <v>34</v>
      </c>
      <c r="F18" s="13">
        <v>25</v>
      </c>
      <c r="G18" s="13">
        <v>36</v>
      </c>
      <c r="H18" s="13">
        <v>27</v>
      </c>
      <c r="I18" s="13">
        <v>189</v>
      </c>
    </row>
    <row r="19" spans="2:9" x14ac:dyDescent="0.25">
      <c r="B19" s="9" t="s">
        <v>32</v>
      </c>
      <c r="C19" s="13">
        <v>44</v>
      </c>
      <c r="D19" s="13">
        <v>23</v>
      </c>
      <c r="E19" s="13">
        <v>29</v>
      </c>
      <c r="F19" s="13">
        <v>22</v>
      </c>
      <c r="G19" s="13">
        <v>45</v>
      </c>
      <c r="H19" s="13">
        <v>34</v>
      </c>
      <c r="I19" s="13">
        <v>197</v>
      </c>
    </row>
    <row r="20" spans="2:9" x14ac:dyDescent="0.25">
      <c r="B20" s="9" t="s">
        <v>1386</v>
      </c>
      <c r="C20" s="13">
        <v>151</v>
      </c>
      <c r="D20" s="13">
        <v>127</v>
      </c>
      <c r="E20" s="13">
        <v>138</v>
      </c>
      <c r="F20" s="13">
        <v>123</v>
      </c>
      <c r="G20" s="13">
        <v>141</v>
      </c>
      <c r="H20" s="13">
        <v>128</v>
      </c>
      <c r="I20" s="13">
        <v>808</v>
      </c>
    </row>
    <row r="23" spans="2:9" x14ac:dyDescent="0.25">
      <c r="B23" s="8" t="s">
        <v>1385</v>
      </c>
      <c r="C23" t="s">
        <v>1387</v>
      </c>
    </row>
    <row r="24" spans="2:9" x14ac:dyDescent="0.25">
      <c r="B24" s="9" t="s">
        <v>59</v>
      </c>
      <c r="C24" s="13">
        <v>285563620</v>
      </c>
    </row>
    <row r="25" spans="2:9" x14ac:dyDescent="0.25">
      <c r="B25" s="14" t="s">
        <v>46</v>
      </c>
      <c r="C25" s="13">
        <v>58847598</v>
      </c>
    </row>
    <row r="26" spans="2:9" x14ac:dyDescent="0.25">
      <c r="B26" s="14" t="s">
        <v>81</v>
      </c>
      <c r="C26" s="13">
        <v>42234652</v>
      </c>
    </row>
    <row r="27" spans="2:9" x14ac:dyDescent="0.25">
      <c r="B27" s="14" t="s">
        <v>60</v>
      </c>
      <c r="C27" s="13">
        <v>39660999</v>
      </c>
    </row>
    <row r="28" spans="2:9" x14ac:dyDescent="0.25">
      <c r="B28" s="14" t="s">
        <v>75</v>
      </c>
      <c r="C28" s="13">
        <v>56830185</v>
      </c>
    </row>
    <row r="29" spans="2:9" x14ac:dyDescent="0.25">
      <c r="B29" s="14" t="s">
        <v>85</v>
      </c>
      <c r="C29" s="13">
        <v>45818281</v>
      </c>
    </row>
    <row r="30" spans="2:9" x14ac:dyDescent="0.25">
      <c r="B30" s="14" t="s">
        <v>33</v>
      </c>
      <c r="C30" s="13">
        <v>42171905</v>
      </c>
    </row>
    <row r="31" spans="2:9" x14ac:dyDescent="0.25">
      <c r="B31" s="9" t="s">
        <v>65</v>
      </c>
      <c r="C31" s="13">
        <v>264878445</v>
      </c>
    </row>
    <row r="32" spans="2:9" x14ac:dyDescent="0.25">
      <c r="B32" s="14" t="s">
        <v>46</v>
      </c>
      <c r="C32" s="13">
        <v>36156011</v>
      </c>
    </row>
    <row r="33" spans="2:3" x14ac:dyDescent="0.25">
      <c r="B33" s="14" t="s">
        <v>81</v>
      </c>
      <c r="C33" s="13">
        <v>40523095</v>
      </c>
    </row>
    <row r="34" spans="2:3" x14ac:dyDescent="0.25">
      <c r="B34" s="14" t="s">
        <v>60</v>
      </c>
      <c r="C34" s="13">
        <v>55450480</v>
      </c>
    </row>
    <row r="35" spans="2:3" x14ac:dyDescent="0.25">
      <c r="B35" s="14" t="s">
        <v>75</v>
      </c>
      <c r="C35" s="13">
        <v>46173740</v>
      </c>
    </row>
    <row r="36" spans="2:3" x14ac:dyDescent="0.25">
      <c r="B36" s="14" t="s">
        <v>85</v>
      </c>
      <c r="C36" s="13">
        <v>40455406</v>
      </c>
    </row>
    <row r="37" spans="2:3" x14ac:dyDescent="0.25">
      <c r="B37" s="14" t="s">
        <v>33</v>
      </c>
      <c r="C37" s="13">
        <v>46119713</v>
      </c>
    </row>
    <row r="38" spans="2:3" x14ac:dyDescent="0.25">
      <c r="B38" s="9" t="s">
        <v>42</v>
      </c>
      <c r="C38" s="13">
        <v>231457776</v>
      </c>
    </row>
    <row r="39" spans="2:3" x14ac:dyDescent="0.25">
      <c r="B39" s="14" t="s">
        <v>46</v>
      </c>
      <c r="C39" s="13">
        <v>39870168</v>
      </c>
    </row>
    <row r="40" spans="2:3" x14ac:dyDescent="0.25">
      <c r="B40" s="14" t="s">
        <v>81</v>
      </c>
      <c r="C40" s="13">
        <v>42397555</v>
      </c>
    </row>
    <row r="41" spans="2:3" x14ac:dyDescent="0.25">
      <c r="B41" s="14" t="s">
        <v>60</v>
      </c>
      <c r="C41" s="13">
        <v>43878466</v>
      </c>
    </row>
    <row r="42" spans="2:3" x14ac:dyDescent="0.25">
      <c r="B42" s="14" t="s">
        <v>75</v>
      </c>
      <c r="C42" s="13">
        <v>32744550</v>
      </c>
    </row>
    <row r="43" spans="2:3" x14ac:dyDescent="0.25">
      <c r="B43" s="14" t="s">
        <v>85</v>
      </c>
      <c r="C43" s="13">
        <v>43455989</v>
      </c>
    </row>
    <row r="44" spans="2:3" x14ac:dyDescent="0.25">
      <c r="B44" s="14" t="s">
        <v>33</v>
      </c>
      <c r="C44" s="13">
        <v>29111048</v>
      </c>
    </row>
    <row r="45" spans="2:3" x14ac:dyDescent="0.25">
      <c r="B45" s="9" t="s">
        <v>32</v>
      </c>
      <c r="C45" s="13">
        <v>256546229</v>
      </c>
    </row>
    <row r="46" spans="2:3" x14ac:dyDescent="0.25">
      <c r="B46" s="14" t="s">
        <v>46</v>
      </c>
      <c r="C46" s="13">
        <v>54066134</v>
      </c>
    </row>
    <row r="47" spans="2:3" x14ac:dyDescent="0.25">
      <c r="B47" s="14" t="s">
        <v>81</v>
      </c>
      <c r="C47" s="13">
        <v>31910019</v>
      </c>
    </row>
    <row r="48" spans="2:3" x14ac:dyDescent="0.25">
      <c r="B48" s="14" t="s">
        <v>60</v>
      </c>
      <c r="C48" s="13">
        <v>39532642</v>
      </c>
    </row>
    <row r="49" spans="2:3" x14ac:dyDescent="0.25">
      <c r="B49" s="14" t="s">
        <v>75</v>
      </c>
      <c r="C49" s="13">
        <v>27870210</v>
      </c>
    </row>
    <row r="50" spans="2:3" x14ac:dyDescent="0.25">
      <c r="B50" s="14" t="s">
        <v>85</v>
      </c>
      <c r="C50" s="13">
        <v>56735523</v>
      </c>
    </row>
    <row r="51" spans="2:3" x14ac:dyDescent="0.25">
      <c r="B51" s="14" t="s">
        <v>33</v>
      </c>
      <c r="C51" s="13">
        <v>46431701</v>
      </c>
    </row>
    <row r="52" spans="2:3" x14ac:dyDescent="0.25">
      <c r="B52" s="9" t="s">
        <v>1386</v>
      </c>
      <c r="C52" s="13">
        <v>1038446070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workbookViewId="0">
      <selection sqref="A1:H1"/>
    </sheetView>
  </sheetViews>
  <sheetFormatPr defaultRowHeight="15" x14ac:dyDescent="0.25"/>
  <cols>
    <col min="1" max="1" width="24" customWidth="1"/>
    <col min="2" max="2" width="58" customWidth="1"/>
    <col min="3" max="3" width="26" customWidth="1"/>
  </cols>
  <sheetData>
    <row r="1" spans="1:8" ht="30" customHeight="1" x14ac:dyDescent="0.25">
      <c r="A1" s="19" t="s">
        <v>1322</v>
      </c>
      <c r="B1" s="18"/>
      <c r="C1" s="18"/>
      <c r="D1" s="18"/>
      <c r="E1" s="18"/>
      <c r="F1" s="18"/>
      <c r="G1" s="18"/>
      <c r="H1" s="18"/>
    </row>
    <row r="2" spans="1:8" x14ac:dyDescent="0.25">
      <c r="A2" s="17" t="s">
        <v>1323</v>
      </c>
      <c r="B2" s="18"/>
      <c r="C2" s="18"/>
      <c r="D2" s="18"/>
      <c r="E2" s="18"/>
      <c r="F2" s="18"/>
      <c r="G2" s="18"/>
      <c r="H2" s="18"/>
    </row>
    <row r="5" spans="1:8" x14ac:dyDescent="0.25">
      <c r="A5" s="1" t="s">
        <v>1324</v>
      </c>
      <c r="B5" s="1" t="s">
        <v>1325</v>
      </c>
      <c r="C5" s="1" t="s">
        <v>1326</v>
      </c>
    </row>
    <row r="6" spans="1:8" x14ac:dyDescent="0.25">
      <c r="A6" s="2" t="s">
        <v>14</v>
      </c>
      <c r="B6" s="2" t="s">
        <v>1327</v>
      </c>
      <c r="C6" s="2" t="s">
        <v>28</v>
      </c>
    </row>
    <row r="7" spans="1:8" x14ac:dyDescent="0.25">
      <c r="A7" s="2" t="s">
        <v>15</v>
      </c>
      <c r="B7" s="2" t="s">
        <v>1328</v>
      </c>
      <c r="C7" s="2" t="s">
        <v>571</v>
      </c>
    </row>
    <row r="8" spans="1:8" x14ac:dyDescent="0.25">
      <c r="A8" s="2" t="s">
        <v>16</v>
      </c>
      <c r="B8" s="2" t="s">
        <v>1329</v>
      </c>
      <c r="C8" s="2" t="s">
        <v>165</v>
      </c>
    </row>
    <row r="9" spans="1:8" x14ac:dyDescent="0.25">
      <c r="A9" s="2" t="s">
        <v>17</v>
      </c>
      <c r="B9" s="2" t="s">
        <v>1330</v>
      </c>
      <c r="C9" s="2" t="s">
        <v>1331</v>
      </c>
    </row>
    <row r="10" spans="1:8" x14ac:dyDescent="0.25">
      <c r="A10" s="2" t="s">
        <v>18</v>
      </c>
      <c r="B10" s="2" t="s">
        <v>1332</v>
      </c>
      <c r="C10" s="2" t="s">
        <v>58</v>
      </c>
    </row>
    <row r="11" spans="1:8" x14ac:dyDescent="0.25">
      <c r="A11" s="2" t="s">
        <v>19</v>
      </c>
      <c r="B11" s="2" t="s">
        <v>1333</v>
      </c>
      <c r="C11" s="2" t="s">
        <v>42</v>
      </c>
    </row>
    <row r="12" spans="1:8" x14ac:dyDescent="0.25">
      <c r="A12" s="2" t="s">
        <v>20</v>
      </c>
      <c r="B12" s="2" t="s">
        <v>1334</v>
      </c>
      <c r="C12" s="2" t="s">
        <v>81</v>
      </c>
    </row>
    <row r="13" spans="1:8" x14ac:dyDescent="0.25">
      <c r="A13" s="2" t="s">
        <v>21</v>
      </c>
      <c r="B13" s="2" t="s">
        <v>1335</v>
      </c>
      <c r="C13" s="2" t="s">
        <v>34</v>
      </c>
    </row>
    <row r="14" spans="1:8" x14ac:dyDescent="0.25">
      <c r="A14" s="2" t="s">
        <v>22</v>
      </c>
      <c r="B14" s="2" t="s">
        <v>1336</v>
      </c>
      <c r="C14" s="2" t="s">
        <v>1337</v>
      </c>
    </row>
    <row r="15" spans="1:8" x14ac:dyDescent="0.25">
      <c r="A15" s="2" t="s">
        <v>23</v>
      </c>
      <c r="B15" s="2" t="s">
        <v>1338</v>
      </c>
      <c r="C15" s="2" t="s">
        <v>1339</v>
      </c>
    </row>
    <row r="16" spans="1:8" x14ac:dyDescent="0.25">
      <c r="A16" s="2" t="s">
        <v>24</v>
      </c>
      <c r="B16" s="2" t="s">
        <v>1340</v>
      </c>
      <c r="C16" s="2" t="s">
        <v>1341</v>
      </c>
    </row>
    <row r="17" spans="1:3" x14ac:dyDescent="0.25">
      <c r="A17" s="2" t="s">
        <v>25</v>
      </c>
      <c r="B17" s="2" t="s">
        <v>1342</v>
      </c>
      <c r="C17" s="2" t="s">
        <v>35</v>
      </c>
    </row>
    <row r="18" spans="1:3" x14ac:dyDescent="0.25">
      <c r="A18" s="2" t="s">
        <v>26</v>
      </c>
      <c r="B18" s="2" t="s">
        <v>1343</v>
      </c>
      <c r="C18" s="2" t="s">
        <v>36</v>
      </c>
    </row>
    <row r="19" spans="1:3" x14ac:dyDescent="0.25">
      <c r="A19" s="2" t="s">
        <v>27</v>
      </c>
      <c r="B19" s="2" t="s">
        <v>1344</v>
      </c>
      <c r="C19" s="2" t="s">
        <v>61</v>
      </c>
    </row>
  </sheetData>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showGridLines="0" tabSelected="1" zoomScale="78" workbookViewId="0">
      <selection activeCell="A8" sqref="A8"/>
    </sheetView>
  </sheetViews>
  <sheetFormatPr defaultRowHeight="15" x14ac:dyDescent="0.25"/>
  <cols>
    <col min="1" max="1" width="62" customWidth="1"/>
    <col min="2" max="2" width="70" customWidth="1"/>
    <col min="3" max="3" width="16" customWidth="1"/>
  </cols>
  <sheetData>
    <row r="1" spans="1:8" ht="30" customHeight="1" x14ac:dyDescent="0.25">
      <c r="A1" s="19" t="s">
        <v>1345</v>
      </c>
      <c r="B1" s="18"/>
      <c r="C1" s="18"/>
      <c r="D1" s="18"/>
      <c r="E1" s="18"/>
      <c r="F1" s="18"/>
      <c r="G1" s="18"/>
      <c r="H1" s="18"/>
    </row>
    <row r="2" spans="1:8" x14ac:dyDescent="0.25">
      <c r="A2" s="17" t="s">
        <v>1346</v>
      </c>
      <c r="B2" s="18"/>
      <c r="C2" s="18"/>
      <c r="D2" s="18"/>
      <c r="E2" s="18"/>
      <c r="F2" s="18"/>
      <c r="G2" s="18"/>
      <c r="H2" s="18"/>
    </row>
    <row r="5" spans="1:8" x14ac:dyDescent="0.25">
      <c r="A5" s="1" t="s">
        <v>1347</v>
      </c>
      <c r="B5" s="1" t="s">
        <v>1348</v>
      </c>
      <c r="C5" s="1" t="s">
        <v>1390</v>
      </c>
    </row>
    <row r="6" spans="1:8" x14ac:dyDescent="0.25">
      <c r="A6" s="3" t="s">
        <v>1349</v>
      </c>
      <c r="B6" s="2" t="s">
        <v>1350</v>
      </c>
      <c r="C6" t="s">
        <v>59</v>
      </c>
    </row>
    <row r="7" spans="1:8" x14ac:dyDescent="0.25">
      <c r="A7" s="3" t="s">
        <v>1351</v>
      </c>
      <c r="B7" s="3" t="s">
        <v>1352</v>
      </c>
      <c r="C7" t="s">
        <v>46</v>
      </c>
    </row>
    <row r="8" spans="1:8" x14ac:dyDescent="0.25">
      <c r="A8" s="3" t="s">
        <v>1353</v>
      </c>
      <c r="B8" s="3" t="s">
        <v>1354</v>
      </c>
      <c r="C8" t="s">
        <v>66</v>
      </c>
    </row>
    <row r="9" spans="1:8" x14ac:dyDescent="0.25">
      <c r="A9" s="2" t="s">
        <v>1355</v>
      </c>
      <c r="B9" s="2" t="s">
        <v>1356</v>
      </c>
      <c r="C9" t="s">
        <v>1394</v>
      </c>
    </row>
    <row r="10" spans="1:8" x14ac:dyDescent="0.25">
      <c r="A10" s="2" t="s">
        <v>1357</v>
      </c>
      <c r="B10" s="2" t="s">
        <v>1358</v>
      </c>
    </row>
    <row r="11" spans="1:8" x14ac:dyDescent="0.25">
      <c r="A11" s="2" t="s">
        <v>1359</v>
      </c>
      <c r="B11" s="2" t="s">
        <v>1360</v>
      </c>
    </row>
    <row r="13" spans="1:8" x14ac:dyDescent="0.25">
      <c r="A13" s="15" t="s">
        <v>1410</v>
      </c>
      <c r="B13" s="16"/>
    </row>
    <row r="14" spans="1:8" x14ac:dyDescent="0.25">
      <c r="A14" s="20" t="s">
        <v>1408</v>
      </c>
      <c r="B14" s="20"/>
    </row>
    <row r="15" spans="1:8" x14ac:dyDescent="0.25">
      <c r="A15" s="20"/>
      <c r="B15" s="20"/>
    </row>
    <row r="16" spans="1:8" ht="15" customHeight="1" x14ac:dyDescent="0.25">
      <c r="A16" s="20" t="s">
        <v>1409</v>
      </c>
      <c r="B16" s="20"/>
    </row>
    <row r="17" spans="1:2" ht="31.5" customHeight="1" x14ac:dyDescent="0.25">
      <c r="A17" s="20"/>
      <c r="B17" s="20"/>
    </row>
  </sheetData>
  <mergeCells count="4">
    <mergeCell ref="A2:H2"/>
    <mergeCell ref="A1:H1"/>
    <mergeCell ref="A14:B15"/>
    <mergeCell ref="A16:B1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showGridLines="0" topLeftCell="A2" workbookViewId="0">
      <selection activeCell="A18" sqref="A18:A56"/>
    </sheetView>
  </sheetViews>
  <sheetFormatPr defaultRowHeight="15" x14ac:dyDescent="0.25"/>
  <cols>
    <col min="1" max="1" width="26" customWidth="1"/>
    <col min="2" max="2" width="34" customWidth="1"/>
    <col min="3" max="4" width="42" customWidth="1"/>
  </cols>
  <sheetData>
    <row r="1" spans="1:8" ht="30" customHeight="1" x14ac:dyDescent="0.25">
      <c r="A1" s="19" t="s">
        <v>1361</v>
      </c>
      <c r="B1" s="18"/>
      <c r="C1" s="18"/>
      <c r="D1" s="18"/>
      <c r="E1" s="18"/>
      <c r="F1" s="18"/>
      <c r="G1" s="18"/>
      <c r="H1" s="18"/>
    </row>
    <row r="2" spans="1:8" x14ac:dyDescent="0.25">
      <c r="A2" s="17" t="s">
        <v>1362</v>
      </c>
      <c r="B2" s="18"/>
      <c r="C2" s="18"/>
      <c r="D2" s="18"/>
      <c r="E2" s="18"/>
      <c r="F2" s="18"/>
      <c r="G2" s="18"/>
      <c r="H2" s="18"/>
    </row>
    <row r="5" spans="1:8" x14ac:dyDescent="0.25">
      <c r="A5" s="1" t="s">
        <v>1363</v>
      </c>
      <c r="B5" s="1" t="s">
        <v>1364</v>
      </c>
      <c r="C5" s="1" t="s">
        <v>1365</v>
      </c>
      <c r="D5" s="1" t="s">
        <v>1366</v>
      </c>
    </row>
    <row r="6" spans="1:8" x14ac:dyDescent="0.25">
      <c r="A6" s="2" t="s">
        <v>1367</v>
      </c>
      <c r="B6" s="2" t="s">
        <v>1411</v>
      </c>
      <c r="C6" s="2" t="s">
        <v>1412</v>
      </c>
      <c r="D6" s="2" t="s">
        <v>1413</v>
      </c>
    </row>
    <row r="7" spans="1:8" x14ac:dyDescent="0.25">
      <c r="A7" s="2" t="s">
        <v>1368</v>
      </c>
      <c r="B7" s="2" t="s">
        <v>1414</v>
      </c>
      <c r="C7" s="2" t="s">
        <v>1415</v>
      </c>
      <c r="D7" s="2" t="s">
        <v>1416</v>
      </c>
    </row>
    <row r="8" spans="1:8" x14ac:dyDescent="0.25">
      <c r="A8" s="2" t="s">
        <v>1369</v>
      </c>
      <c r="B8" s="2" t="s">
        <v>1417</v>
      </c>
      <c r="C8" s="2"/>
      <c r="D8" s="2"/>
    </row>
    <row r="9" spans="1:8" x14ac:dyDescent="0.25">
      <c r="A9" s="2" t="s">
        <v>1370</v>
      </c>
      <c r="B9" s="2" t="s">
        <v>1418</v>
      </c>
      <c r="C9" s="2" t="s">
        <v>1419</v>
      </c>
      <c r="D9" s="2" t="s">
        <v>1420</v>
      </c>
    </row>
    <row r="10" spans="1:8" x14ac:dyDescent="0.25">
      <c r="A10" s="2" t="s">
        <v>1371</v>
      </c>
      <c r="B10" s="2" t="s">
        <v>1421</v>
      </c>
      <c r="C10" s="2"/>
      <c r="D10" s="2" t="s">
        <v>1422</v>
      </c>
    </row>
    <row r="11" spans="1:8" x14ac:dyDescent="0.25">
      <c r="A11" s="2" t="s">
        <v>1372</v>
      </c>
      <c r="B11" s="2"/>
      <c r="C11" s="2"/>
      <c r="D11" s="2"/>
    </row>
  </sheetData>
  <mergeCells count="2">
    <mergeCell ref="A2:H2"/>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584D38-3A8E-419A-9FC0-FC4F306A59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Customer Orders Raw</vt:lpstr>
      <vt:lpstr>Cleaned Data</vt:lpstr>
      <vt:lpstr>Summary Analysis</vt:lpstr>
      <vt:lpstr>Dashboard</vt:lpstr>
      <vt:lpstr>Data Dashboard</vt:lpstr>
      <vt:lpstr>Data Dictionary</vt:lpstr>
      <vt:lpstr>Business Questions</vt:lpstr>
      <vt:lpstr>Cleaning Log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Reihan Dwi Ismawati</cp:lastModifiedBy>
  <dcterms:created xsi:type="dcterms:W3CDTF">2026-07-14T11:04:43Z</dcterms:created>
  <dcterms:modified xsi:type="dcterms:W3CDTF">2026-07-31T14:14:38Z</dcterms:modified>
</cp:coreProperties>
</file>